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rahul_samrat\PhD\1_PAPER-1\6-Quality-control\NIST-SRM-1950\SRMQC1950\Quant-negative\Skyline\LipidQCTargatedlist\"/>
    </mc:Choice>
  </mc:AlternateContent>
  <bookViews>
    <workbookView xWindow="0" yWindow="0" windowWidth="38400" windowHeight="17835" activeTab="2"/>
  </bookViews>
  <sheets>
    <sheet name="Instructions" sheetId="59" r:id="rId1"/>
    <sheet name="Enter Values" sheetId="60" state="hidden" r:id="rId2"/>
    <sheet name="Results" sheetId="55" r:id="rId3"/>
    <sheet name="certlist" sheetId="5" state="hidden" r:id="rId4"/>
    <sheet name="consensus values" sheetId="1" state="hidden" r:id="rId5"/>
    <sheet name="Data Overview" sheetId="61" state="hidden" r:id="rId6"/>
    <sheet name="Summed Data" sheetId="62" state="hidden" r:id="rId7"/>
    <sheet name="Formulas" sheetId="63" state="hidden" r:id="rId8"/>
  </sheets>
  <functionGroups builtInGroupCount="18"/>
  <definedNames>
    <definedName name="_xlnm._FilterDatabase" localSheetId="3" hidden="1">certlist!$A$1:$E$53</definedName>
    <definedName name="_xlnm._FilterDatabase" localSheetId="4" hidden="1">'consensus values'!$A$1:$Q$319</definedName>
    <definedName name="plusminus">Formulas!$G$1</definedName>
    <definedName name="table1footnote1">Formulas!$G$3</definedName>
    <definedName name="table1footnote2">Formulas!$G$2</definedName>
  </definedNames>
  <calcPr calcId="152511"/>
</workbook>
</file>

<file path=xl/calcChain.xml><?xml version="1.0" encoding="utf-8"?>
<calcChain xmlns="http://schemas.openxmlformats.org/spreadsheetml/2006/main">
  <c r="I159" i="55" l="1"/>
  <c r="G159" i="55"/>
  <c r="I158" i="55"/>
  <c r="G158" i="55"/>
  <c r="I157" i="55"/>
  <c r="G157" i="55"/>
  <c r="I156" i="55"/>
  <c r="G156" i="55"/>
  <c r="I155" i="55"/>
  <c r="G155" i="55"/>
  <c r="I154" i="55"/>
  <c r="G154" i="55"/>
  <c r="I153" i="55"/>
  <c r="G153" i="55"/>
  <c r="I152" i="55"/>
  <c r="G152" i="55"/>
  <c r="I151" i="55"/>
  <c r="G151" i="55"/>
  <c r="I150" i="55"/>
  <c r="G150" i="55"/>
  <c r="I149" i="55"/>
  <c r="G149" i="55"/>
  <c r="I148" i="55"/>
  <c r="G148" i="55"/>
  <c r="I147" i="55"/>
  <c r="G147" i="55"/>
  <c r="I146" i="55"/>
  <c r="G146" i="55"/>
  <c r="I145" i="55"/>
  <c r="G145" i="55"/>
  <c r="I144" i="55"/>
  <c r="G144" i="55"/>
  <c r="I143" i="55"/>
  <c r="G143" i="55"/>
  <c r="I142" i="55"/>
  <c r="G142" i="55"/>
  <c r="I141" i="55"/>
  <c r="G141" i="55"/>
  <c r="I140" i="55"/>
  <c r="G140" i="55"/>
  <c r="I139" i="55"/>
  <c r="G139" i="55"/>
  <c r="I138" i="55"/>
  <c r="G138" i="55"/>
  <c r="I137" i="55"/>
  <c r="G137" i="55"/>
  <c r="I136" i="55"/>
  <c r="G136" i="55"/>
  <c r="I135" i="55"/>
  <c r="G135" i="55"/>
  <c r="I134" i="55"/>
  <c r="G134" i="55"/>
  <c r="I133" i="55"/>
  <c r="G133" i="55"/>
  <c r="I132" i="55"/>
  <c r="G132" i="55"/>
  <c r="I131" i="55"/>
  <c r="G131" i="55"/>
  <c r="I130" i="55"/>
  <c r="G130" i="55"/>
  <c r="I129" i="55"/>
  <c r="G129" i="55"/>
  <c r="I128" i="55"/>
  <c r="G128" i="55"/>
  <c r="I127" i="55"/>
  <c r="G127" i="55"/>
  <c r="I126" i="55"/>
  <c r="G126" i="55"/>
  <c r="I125" i="55"/>
  <c r="G125" i="55"/>
  <c r="I124" i="55"/>
  <c r="G124" i="55"/>
  <c r="I123" i="55"/>
  <c r="G123" i="55"/>
  <c r="I122" i="55"/>
  <c r="G122" i="55"/>
  <c r="I121" i="55"/>
  <c r="G121" i="55"/>
  <c r="I120" i="55"/>
  <c r="G120" i="55"/>
  <c r="I119" i="55"/>
  <c r="G119" i="55"/>
  <c r="I118" i="55"/>
  <c r="G118" i="55"/>
  <c r="I117" i="55"/>
  <c r="G117" i="55"/>
  <c r="I116" i="55"/>
  <c r="G116" i="55"/>
  <c r="I115" i="55"/>
  <c r="G115" i="55"/>
  <c r="I114" i="55"/>
  <c r="G114" i="55"/>
  <c r="I113" i="55"/>
  <c r="G113" i="55"/>
  <c r="I112" i="55"/>
  <c r="G112" i="55"/>
  <c r="I111" i="55"/>
  <c r="G111" i="55"/>
  <c r="I110" i="55"/>
  <c r="G110" i="55"/>
  <c r="I109" i="55"/>
  <c r="G109" i="55"/>
  <c r="I108" i="55"/>
  <c r="G108" i="55"/>
  <c r="I107" i="55"/>
  <c r="G107" i="55"/>
  <c r="I106" i="55"/>
  <c r="G106" i="55"/>
  <c r="I105" i="55"/>
  <c r="G105" i="55"/>
  <c r="I104" i="55"/>
  <c r="G104" i="55"/>
  <c r="I103" i="55"/>
  <c r="G103" i="55"/>
  <c r="I102" i="55"/>
  <c r="G102" i="55"/>
  <c r="I101" i="55"/>
  <c r="G101" i="55"/>
  <c r="I100" i="55"/>
  <c r="G100" i="55"/>
  <c r="I99" i="55"/>
  <c r="G99" i="55"/>
  <c r="I98" i="55"/>
  <c r="G98" i="55"/>
  <c r="I97" i="55"/>
  <c r="G97" i="55"/>
  <c r="I96" i="55"/>
  <c r="G96" i="55"/>
  <c r="I95" i="55"/>
  <c r="G95" i="55"/>
  <c r="I94" i="55"/>
  <c r="G94" i="55"/>
  <c r="I93" i="55"/>
  <c r="G93" i="55"/>
  <c r="I92" i="55"/>
  <c r="G92" i="55"/>
  <c r="I91" i="55"/>
  <c r="G91" i="55"/>
  <c r="I90" i="55"/>
  <c r="G90" i="55"/>
  <c r="I89" i="55"/>
  <c r="G89" i="55"/>
  <c r="I88" i="55"/>
  <c r="G88" i="55"/>
  <c r="I87" i="55"/>
  <c r="G87" i="55"/>
  <c r="I86" i="55"/>
  <c r="G86" i="55"/>
  <c r="I85" i="55"/>
  <c r="G85" i="55"/>
  <c r="I84" i="55"/>
  <c r="G84" i="55"/>
  <c r="I83" i="55"/>
  <c r="G83" i="55"/>
  <c r="I82" i="55"/>
  <c r="G82" i="55"/>
  <c r="I81" i="55"/>
  <c r="G81" i="55"/>
  <c r="I80" i="55"/>
  <c r="G80" i="55"/>
  <c r="I79" i="55"/>
  <c r="G79" i="55"/>
  <c r="I78" i="55"/>
  <c r="G78" i="55"/>
  <c r="I77" i="55"/>
  <c r="G77" i="55"/>
  <c r="I76" i="55"/>
  <c r="G76" i="55"/>
  <c r="I75" i="55"/>
  <c r="G75" i="55"/>
  <c r="I74" i="55"/>
  <c r="G74" i="55"/>
  <c r="I73" i="55"/>
  <c r="G73" i="55"/>
  <c r="I72" i="55"/>
  <c r="G72" i="55"/>
  <c r="I71" i="55"/>
  <c r="G71" i="55"/>
  <c r="I70" i="55"/>
  <c r="G70" i="55"/>
  <c r="I69" i="55"/>
  <c r="G69" i="55"/>
  <c r="I68" i="55"/>
  <c r="G68" i="55"/>
  <c r="I67" i="55"/>
  <c r="G67" i="55"/>
  <c r="I66" i="55"/>
  <c r="G66" i="55"/>
  <c r="I65" i="55"/>
  <c r="G65" i="55"/>
  <c r="I64" i="55"/>
  <c r="G64" i="55"/>
  <c r="I63" i="55"/>
  <c r="G63" i="55"/>
  <c r="I62" i="55"/>
  <c r="G62" i="55"/>
  <c r="I61" i="55"/>
  <c r="G61" i="55"/>
  <c r="I60" i="55"/>
  <c r="G60" i="55"/>
  <c r="I59" i="55"/>
  <c r="G59" i="55"/>
  <c r="I58" i="55"/>
  <c r="G58" i="55"/>
  <c r="I57" i="55"/>
  <c r="G57" i="55"/>
  <c r="I56" i="55"/>
  <c r="G56" i="55"/>
  <c r="I55" i="55"/>
  <c r="G55" i="55"/>
  <c r="I54" i="55"/>
  <c r="G54" i="55"/>
  <c r="I53" i="55"/>
  <c r="G53" i="55"/>
  <c r="I52" i="55"/>
  <c r="G52" i="55"/>
  <c r="I51" i="55"/>
  <c r="G51" i="55"/>
  <c r="I50" i="55"/>
  <c r="G50" i="55"/>
  <c r="I49" i="55"/>
  <c r="G49" i="55"/>
  <c r="I48" i="55"/>
  <c r="G48" i="55"/>
  <c r="I47" i="55"/>
  <c r="G47" i="55"/>
  <c r="I46" i="55"/>
  <c r="G46" i="55"/>
  <c r="I45" i="55"/>
  <c r="G45" i="55"/>
  <c r="I44" i="55"/>
  <c r="G44" i="55"/>
  <c r="I43" i="55"/>
  <c r="G43" i="55"/>
  <c r="I42" i="55"/>
  <c r="G42" i="55"/>
  <c r="I41" i="55"/>
  <c r="G41" i="55"/>
  <c r="I40" i="55"/>
  <c r="G40" i="55"/>
  <c r="I39" i="55"/>
  <c r="G39" i="55"/>
  <c r="I38" i="55"/>
  <c r="G38" i="55"/>
  <c r="I37" i="55"/>
  <c r="G37" i="55"/>
  <c r="I36" i="55"/>
  <c r="G36" i="55"/>
  <c r="I35" i="55"/>
  <c r="G35" i="55"/>
  <c r="I34" i="55"/>
  <c r="G34" i="55"/>
  <c r="I33" i="55"/>
  <c r="G33" i="55"/>
  <c r="I32" i="55"/>
  <c r="G32" i="55"/>
  <c r="I31" i="55"/>
  <c r="G31" i="55"/>
  <c r="I30" i="55"/>
  <c r="G30" i="55"/>
  <c r="I29" i="55"/>
  <c r="G29" i="55"/>
  <c r="I28" i="55"/>
  <c r="G28" i="55"/>
  <c r="I27" i="55"/>
  <c r="G27" i="55"/>
  <c r="I26" i="55"/>
  <c r="G26" i="55"/>
  <c r="I25" i="55"/>
  <c r="G25" i="55"/>
  <c r="I24" i="55"/>
  <c r="G24" i="55"/>
  <c r="I23" i="55"/>
  <c r="G23" i="55"/>
  <c r="I22" i="55"/>
  <c r="G22" i="55"/>
  <c r="I21" i="55"/>
  <c r="G21" i="55"/>
  <c r="I20" i="55"/>
  <c r="G20" i="55"/>
  <c r="I19" i="55"/>
  <c r="G19" i="55"/>
  <c r="I18" i="55"/>
  <c r="G18" i="55"/>
  <c r="I17" i="55"/>
  <c r="G17" i="55"/>
  <c r="I16" i="55"/>
  <c r="G16" i="55"/>
  <c r="I15" i="55"/>
  <c r="G15" i="55"/>
  <c r="I14" i="55"/>
  <c r="G14" i="55"/>
  <c r="I13" i="55"/>
  <c r="G13" i="55"/>
  <c r="I12" i="55"/>
  <c r="G12" i="55"/>
  <c r="I11" i="55"/>
  <c r="G11" i="55"/>
  <c r="I10" i="55"/>
  <c r="G10" i="55"/>
  <c r="I9" i="55"/>
  <c r="G9" i="55"/>
  <c r="I8" i="55"/>
  <c r="G8" i="55"/>
  <c r="I7" i="55"/>
  <c r="G7" i="55"/>
  <c r="I6" i="55"/>
  <c r="G6" i="55"/>
  <c r="I5" i="55"/>
  <c r="G5" i="55"/>
  <c r="I4" i="55"/>
  <c r="G4" i="55"/>
  <c r="L159" i="55"/>
  <c r="E159" i="55"/>
  <c r="C159" i="55"/>
  <c r="B159" i="55"/>
  <c r="L158" i="55"/>
  <c r="E158" i="55"/>
  <c r="C158" i="55"/>
  <c r="B158" i="55"/>
  <c r="L157" i="55"/>
  <c r="E157" i="55"/>
  <c r="C157" i="55"/>
  <c r="B157" i="55"/>
  <c r="L156" i="55"/>
  <c r="E156" i="55"/>
  <c r="C156" i="55"/>
  <c r="B156" i="55"/>
  <c r="L155" i="55"/>
  <c r="E155" i="55"/>
  <c r="C155" i="55"/>
  <c r="B155" i="55"/>
  <c r="L154" i="55"/>
  <c r="E154" i="55"/>
  <c r="C154" i="55"/>
  <c r="B154" i="55"/>
  <c r="L153" i="55"/>
  <c r="E153" i="55"/>
  <c r="C153" i="55"/>
  <c r="B153" i="55"/>
  <c r="L152" i="55"/>
  <c r="E152" i="55"/>
  <c r="C152" i="55"/>
  <c r="B152" i="55"/>
  <c r="L151" i="55"/>
  <c r="E151" i="55"/>
  <c r="C151" i="55"/>
  <c r="B151" i="55"/>
  <c r="L150" i="55"/>
  <c r="E150" i="55"/>
  <c r="C150" i="55"/>
  <c r="B150" i="55"/>
  <c r="L149" i="55"/>
  <c r="E149" i="55"/>
  <c r="C149" i="55"/>
  <c r="B149" i="55"/>
  <c r="L148" i="55"/>
  <c r="E148" i="55"/>
  <c r="C148" i="55"/>
  <c r="B148" i="55"/>
  <c r="L147" i="55"/>
  <c r="E147" i="55"/>
  <c r="C147" i="55"/>
  <c r="B147" i="55"/>
  <c r="L146" i="55"/>
  <c r="E146" i="55"/>
  <c r="C146" i="55"/>
  <c r="B146" i="55"/>
  <c r="L145" i="55"/>
  <c r="E145" i="55"/>
  <c r="C145" i="55"/>
  <c r="B145" i="55"/>
  <c r="L144" i="55"/>
  <c r="E144" i="55"/>
  <c r="C144" i="55"/>
  <c r="B144" i="55"/>
  <c r="L143" i="55"/>
  <c r="E143" i="55"/>
  <c r="C143" i="55"/>
  <c r="B143" i="55"/>
  <c r="L142" i="55"/>
  <c r="E142" i="55"/>
  <c r="C142" i="55"/>
  <c r="B142" i="55"/>
  <c r="L141" i="55"/>
  <c r="E141" i="55"/>
  <c r="C141" i="55"/>
  <c r="B141" i="55"/>
  <c r="L140" i="55"/>
  <c r="E140" i="55"/>
  <c r="C140" i="55"/>
  <c r="B140" i="55"/>
  <c r="L139" i="55"/>
  <c r="E139" i="55"/>
  <c r="C139" i="55"/>
  <c r="B139" i="55"/>
  <c r="L138" i="55"/>
  <c r="E138" i="55"/>
  <c r="C138" i="55"/>
  <c r="B138" i="55"/>
  <c r="L137" i="55"/>
  <c r="E137" i="55"/>
  <c r="C137" i="55"/>
  <c r="B137" i="55"/>
  <c r="L136" i="55"/>
  <c r="E136" i="55"/>
  <c r="C136" i="55"/>
  <c r="B136" i="55"/>
  <c r="L135" i="55"/>
  <c r="E135" i="55"/>
  <c r="C135" i="55"/>
  <c r="B135" i="55"/>
  <c r="L134" i="55"/>
  <c r="E134" i="55"/>
  <c r="C134" i="55"/>
  <c r="B134" i="55"/>
  <c r="L133" i="55"/>
  <c r="E133" i="55"/>
  <c r="C133" i="55"/>
  <c r="B133" i="55"/>
  <c r="L132" i="55"/>
  <c r="E132" i="55"/>
  <c r="C132" i="55"/>
  <c r="B132" i="55"/>
  <c r="L131" i="55"/>
  <c r="E131" i="55"/>
  <c r="C131" i="55"/>
  <c r="B131" i="55"/>
  <c r="L130" i="55"/>
  <c r="E130" i="55"/>
  <c r="C130" i="55"/>
  <c r="B130" i="55"/>
  <c r="L129" i="55"/>
  <c r="E129" i="55"/>
  <c r="C129" i="55"/>
  <c r="B129" i="55"/>
  <c r="L128" i="55"/>
  <c r="E128" i="55"/>
  <c r="C128" i="55"/>
  <c r="B128" i="55"/>
  <c r="L127" i="55"/>
  <c r="E127" i="55"/>
  <c r="C127" i="55"/>
  <c r="B127" i="55"/>
  <c r="L126" i="55"/>
  <c r="E126" i="55"/>
  <c r="C126" i="55"/>
  <c r="B126" i="55"/>
  <c r="L125" i="55"/>
  <c r="E125" i="55"/>
  <c r="C125" i="55"/>
  <c r="B125" i="55"/>
  <c r="L124" i="55"/>
  <c r="E124" i="55"/>
  <c r="C124" i="55"/>
  <c r="B124" i="55"/>
  <c r="L123" i="55"/>
  <c r="E123" i="55"/>
  <c r="C123" i="55"/>
  <c r="B123" i="55"/>
  <c r="L122" i="55"/>
  <c r="E122" i="55"/>
  <c r="C122" i="55"/>
  <c r="B122" i="55"/>
  <c r="L121" i="55"/>
  <c r="E121" i="55"/>
  <c r="C121" i="55"/>
  <c r="B121" i="55"/>
  <c r="L120" i="55"/>
  <c r="E120" i="55"/>
  <c r="C120" i="55"/>
  <c r="B120" i="55"/>
  <c r="L119" i="55"/>
  <c r="E119" i="55"/>
  <c r="C119" i="55"/>
  <c r="B119" i="55"/>
  <c r="L118" i="55"/>
  <c r="E118" i="55"/>
  <c r="C118" i="55"/>
  <c r="B118" i="55"/>
  <c r="L117" i="55"/>
  <c r="E117" i="55"/>
  <c r="C117" i="55"/>
  <c r="B117" i="55"/>
  <c r="L116" i="55"/>
  <c r="E116" i="55"/>
  <c r="C116" i="55"/>
  <c r="B116" i="55"/>
  <c r="L115" i="55"/>
  <c r="E115" i="55"/>
  <c r="C115" i="55"/>
  <c r="B115" i="55"/>
  <c r="L114" i="55"/>
  <c r="E114" i="55"/>
  <c r="C114" i="55"/>
  <c r="B114" i="55"/>
  <c r="L113" i="55"/>
  <c r="E113" i="55"/>
  <c r="C113" i="55"/>
  <c r="B113" i="55"/>
  <c r="L112" i="55"/>
  <c r="E112" i="55"/>
  <c r="C112" i="55"/>
  <c r="B112" i="55"/>
  <c r="L111" i="55"/>
  <c r="E111" i="55"/>
  <c r="C111" i="55"/>
  <c r="B111" i="55"/>
  <c r="L110" i="55"/>
  <c r="E110" i="55"/>
  <c r="C110" i="55"/>
  <c r="B110" i="55"/>
  <c r="L109" i="55"/>
  <c r="E109" i="55"/>
  <c r="C109" i="55"/>
  <c r="B109" i="55"/>
  <c r="L108" i="55"/>
  <c r="E108" i="55"/>
  <c r="C108" i="55"/>
  <c r="B108" i="55"/>
  <c r="L107" i="55"/>
  <c r="E107" i="55"/>
  <c r="C107" i="55"/>
  <c r="B107" i="55"/>
  <c r="L106" i="55"/>
  <c r="E106" i="55"/>
  <c r="C106" i="55"/>
  <c r="B106" i="55"/>
  <c r="L105" i="55"/>
  <c r="E105" i="55"/>
  <c r="C105" i="55"/>
  <c r="B105" i="55"/>
  <c r="L104" i="55"/>
  <c r="E104" i="55"/>
  <c r="C104" i="55"/>
  <c r="B104" i="55"/>
  <c r="L103" i="55"/>
  <c r="E103" i="55"/>
  <c r="C103" i="55"/>
  <c r="B103" i="55"/>
  <c r="L102" i="55"/>
  <c r="E102" i="55"/>
  <c r="C102" i="55"/>
  <c r="B102" i="55"/>
  <c r="L101" i="55"/>
  <c r="E101" i="55"/>
  <c r="C101" i="55"/>
  <c r="B101" i="55"/>
  <c r="L100" i="55"/>
  <c r="E100" i="55"/>
  <c r="C100" i="55"/>
  <c r="B100" i="55"/>
  <c r="L99" i="55"/>
  <c r="E99" i="55"/>
  <c r="C99" i="55"/>
  <c r="B99" i="55"/>
  <c r="L98" i="55"/>
  <c r="E98" i="55"/>
  <c r="C98" i="55"/>
  <c r="B98" i="55"/>
  <c r="L97" i="55"/>
  <c r="E97" i="55"/>
  <c r="C97" i="55"/>
  <c r="B97" i="55"/>
  <c r="L96" i="55"/>
  <c r="E96" i="55"/>
  <c r="C96" i="55"/>
  <c r="B96" i="55"/>
  <c r="L95" i="55"/>
  <c r="E95" i="55"/>
  <c r="C95" i="55"/>
  <c r="B95" i="55"/>
  <c r="L94" i="55"/>
  <c r="E94" i="55"/>
  <c r="C94" i="55"/>
  <c r="B94" i="55"/>
  <c r="L93" i="55"/>
  <c r="E93" i="55"/>
  <c r="C93" i="55"/>
  <c r="B93" i="55"/>
  <c r="L92" i="55"/>
  <c r="E92" i="55"/>
  <c r="C92" i="55"/>
  <c r="B92" i="55"/>
  <c r="L91" i="55"/>
  <c r="E91" i="55"/>
  <c r="C91" i="55"/>
  <c r="B91" i="55"/>
  <c r="L90" i="55"/>
  <c r="E90" i="55"/>
  <c r="C90" i="55"/>
  <c r="B90" i="55"/>
  <c r="L89" i="55"/>
  <c r="E89" i="55"/>
  <c r="C89" i="55"/>
  <c r="B89" i="55"/>
  <c r="L88" i="55"/>
  <c r="E88" i="55"/>
  <c r="C88" i="55"/>
  <c r="B88" i="55"/>
  <c r="L87" i="55"/>
  <c r="E87" i="55"/>
  <c r="C87" i="55"/>
  <c r="B87" i="55"/>
  <c r="L86" i="55"/>
  <c r="E86" i="55"/>
  <c r="C86" i="55"/>
  <c r="B86" i="55"/>
  <c r="L85" i="55"/>
  <c r="E85" i="55"/>
  <c r="C85" i="55"/>
  <c r="B85" i="55"/>
  <c r="L84" i="55"/>
  <c r="E84" i="55"/>
  <c r="C84" i="55"/>
  <c r="B84" i="55"/>
  <c r="L83" i="55"/>
  <c r="E83" i="55"/>
  <c r="C83" i="55"/>
  <c r="B83" i="55"/>
  <c r="L82" i="55"/>
  <c r="E82" i="55"/>
  <c r="C82" i="55"/>
  <c r="B82" i="55"/>
  <c r="L81" i="55"/>
  <c r="E81" i="55"/>
  <c r="C81" i="55"/>
  <c r="B81" i="55"/>
  <c r="L80" i="55"/>
  <c r="E80" i="55"/>
  <c r="C80" i="55"/>
  <c r="B80" i="55"/>
  <c r="L79" i="55"/>
  <c r="E79" i="55"/>
  <c r="C79" i="55"/>
  <c r="B79" i="55"/>
  <c r="L78" i="55"/>
  <c r="E78" i="55"/>
  <c r="C78" i="55"/>
  <c r="B78" i="55"/>
  <c r="L77" i="55"/>
  <c r="E77" i="55"/>
  <c r="C77" i="55"/>
  <c r="B77" i="55"/>
  <c r="L76" i="55"/>
  <c r="E76" i="55"/>
  <c r="C76" i="55"/>
  <c r="B76" i="55"/>
  <c r="L75" i="55"/>
  <c r="E75" i="55"/>
  <c r="C75" i="55"/>
  <c r="B75" i="55"/>
  <c r="L74" i="55"/>
  <c r="E74" i="55"/>
  <c r="C74" i="55"/>
  <c r="B74" i="55"/>
  <c r="L73" i="55"/>
  <c r="E73" i="55"/>
  <c r="C73" i="55"/>
  <c r="B73" i="55"/>
  <c r="L72" i="55"/>
  <c r="E72" i="55"/>
  <c r="C72" i="55"/>
  <c r="B72" i="55"/>
  <c r="L71" i="55"/>
  <c r="E71" i="55"/>
  <c r="C71" i="55"/>
  <c r="B71" i="55"/>
  <c r="L70" i="55"/>
  <c r="E70" i="55"/>
  <c r="C70" i="55"/>
  <c r="B70" i="55"/>
  <c r="L69" i="55"/>
  <c r="E69" i="55"/>
  <c r="C69" i="55"/>
  <c r="B69" i="55"/>
  <c r="L68" i="55"/>
  <c r="E68" i="55"/>
  <c r="C68" i="55"/>
  <c r="B68" i="55"/>
  <c r="L67" i="55"/>
  <c r="E67" i="55"/>
  <c r="C67" i="55"/>
  <c r="B67" i="55"/>
  <c r="L66" i="55"/>
  <c r="E66" i="55"/>
  <c r="C66" i="55"/>
  <c r="B66" i="55"/>
  <c r="L65" i="55"/>
  <c r="E65" i="55"/>
  <c r="C65" i="55"/>
  <c r="B65" i="55"/>
  <c r="L64" i="55"/>
  <c r="E64" i="55"/>
  <c r="C64" i="55"/>
  <c r="B64" i="55"/>
  <c r="L63" i="55"/>
  <c r="E63" i="55"/>
  <c r="C63" i="55"/>
  <c r="B63" i="55"/>
  <c r="L62" i="55"/>
  <c r="E62" i="55"/>
  <c r="C62" i="55"/>
  <c r="B62" i="55"/>
  <c r="L61" i="55"/>
  <c r="E61" i="55"/>
  <c r="C61" i="55"/>
  <c r="B61" i="55"/>
  <c r="L60" i="55"/>
  <c r="E60" i="55"/>
  <c r="C60" i="55"/>
  <c r="B60" i="55"/>
  <c r="L59" i="55"/>
  <c r="E59" i="55"/>
  <c r="C59" i="55"/>
  <c r="B59" i="55"/>
  <c r="L58" i="55"/>
  <c r="E58" i="55"/>
  <c r="C58" i="55"/>
  <c r="B58" i="55"/>
  <c r="L57" i="55"/>
  <c r="E57" i="55"/>
  <c r="C57" i="55"/>
  <c r="B57" i="55"/>
  <c r="L56" i="55"/>
  <c r="E56" i="55"/>
  <c r="C56" i="55"/>
  <c r="B56" i="55"/>
  <c r="L55" i="55"/>
  <c r="E55" i="55"/>
  <c r="C55" i="55"/>
  <c r="B55" i="55"/>
  <c r="L54" i="55"/>
  <c r="E54" i="55"/>
  <c r="C54" i="55"/>
  <c r="B54" i="55"/>
  <c r="L53" i="55"/>
  <c r="E53" i="55"/>
  <c r="C53" i="55"/>
  <c r="B53" i="55"/>
  <c r="L52" i="55"/>
  <c r="E52" i="55"/>
  <c r="C52" i="55"/>
  <c r="B52" i="55"/>
  <c r="L51" i="55"/>
  <c r="E51" i="55"/>
  <c r="C51" i="55"/>
  <c r="B51" i="55"/>
  <c r="L50" i="55"/>
  <c r="E50" i="55"/>
  <c r="C50" i="55"/>
  <c r="B50" i="55"/>
  <c r="L49" i="55"/>
  <c r="E49" i="55"/>
  <c r="C49" i="55"/>
  <c r="B49" i="55"/>
  <c r="L48" i="55"/>
  <c r="E48" i="55"/>
  <c r="C48" i="55"/>
  <c r="B48" i="55"/>
  <c r="L47" i="55"/>
  <c r="E47" i="55"/>
  <c r="C47" i="55"/>
  <c r="B47" i="55"/>
  <c r="L46" i="55"/>
  <c r="E46" i="55"/>
  <c r="C46" i="55"/>
  <c r="B46" i="55"/>
  <c r="L45" i="55"/>
  <c r="E45" i="55"/>
  <c r="C45" i="55"/>
  <c r="B45" i="55"/>
  <c r="L44" i="55"/>
  <c r="E44" i="55"/>
  <c r="C44" i="55"/>
  <c r="B44" i="55"/>
  <c r="L43" i="55"/>
  <c r="E43" i="55"/>
  <c r="C43" i="55"/>
  <c r="B43" i="55"/>
  <c r="L42" i="55"/>
  <c r="E42" i="55"/>
  <c r="C42" i="55"/>
  <c r="B42" i="55"/>
  <c r="L41" i="55"/>
  <c r="E41" i="55"/>
  <c r="C41" i="55"/>
  <c r="B41" i="55"/>
  <c r="L40" i="55"/>
  <c r="E40" i="55"/>
  <c r="C40" i="55"/>
  <c r="B40" i="55"/>
  <c r="L39" i="55"/>
  <c r="E39" i="55"/>
  <c r="C39" i="55"/>
  <c r="B39" i="55"/>
  <c r="L38" i="55"/>
  <c r="E38" i="55"/>
  <c r="C38" i="55"/>
  <c r="B38" i="55"/>
  <c r="L37" i="55"/>
  <c r="E37" i="55"/>
  <c r="C37" i="55"/>
  <c r="B37" i="55"/>
  <c r="L36" i="55"/>
  <c r="E36" i="55"/>
  <c r="C36" i="55"/>
  <c r="B36" i="55"/>
  <c r="L35" i="55"/>
  <c r="E35" i="55"/>
  <c r="C35" i="55"/>
  <c r="B35" i="55"/>
  <c r="L34" i="55"/>
  <c r="E34" i="55"/>
  <c r="C34" i="55"/>
  <c r="B34" i="55"/>
  <c r="L33" i="55"/>
  <c r="E33" i="55"/>
  <c r="C33" i="55"/>
  <c r="B33" i="55"/>
  <c r="L32" i="55"/>
  <c r="E32" i="55"/>
  <c r="C32" i="55"/>
  <c r="B32" i="55"/>
  <c r="L31" i="55"/>
  <c r="E31" i="55"/>
  <c r="C31" i="55"/>
  <c r="B31" i="55"/>
  <c r="L30" i="55"/>
  <c r="E30" i="55"/>
  <c r="C30" i="55"/>
  <c r="B30" i="55"/>
  <c r="L29" i="55"/>
  <c r="E29" i="55"/>
  <c r="C29" i="55"/>
  <c r="B29" i="55"/>
  <c r="L28" i="55"/>
  <c r="E28" i="55"/>
  <c r="C28" i="55"/>
  <c r="B28" i="55"/>
  <c r="L27" i="55"/>
  <c r="E27" i="55"/>
  <c r="C27" i="55"/>
  <c r="B27" i="55"/>
  <c r="L26" i="55"/>
  <c r="E26" i="55"/>
  <c r="C26" i="55"/>
  <c r="B26" i="55"/>
  <c r="L25" i="55"/>
  <c r="E25" i="55"/>
  <c r="C25" i="55"/>
  <c r="B25" i="55"/>
  <c r="L24" i="55"/>
  <c r="E24" i="55"/>
  <c r="C24" i="55"/>
  <c r="B24" i="55"/>
  <c r="L23" i="55"/>
  <c r="E23" i="55"/>
  <c r="C23" i="55"/>
  <c r="B23" i="55"/>
  <c r="L22" i="55"/>
  <c r="E22" i="55"/>
  <c r="C22" i="55"/>
  <c r="B22" i="55"/>
  <c r="L21" i="55"/>
  <c r="E21" i="55"/>
  <c r="C21" i="55"/>
  <c r="B21" i="55"/>
  <c r="L20" i="55"/>
  <c r="E20" i="55"/>
  <c r="C20" i="55"/>
  <c r="B20" i="55"/>
  <c r="L19" i="55"/>
  <c r="E19" i="55"/>
  <c r="C19" i="55"/>
  <c r="B19" i="55"/>
  <c r="L18" i="55"/>
  <c r="E18" i="55"/>
  <c r="C18" i="55"/>
  <c r="B18" i="55"/>
  <c r="L17" i="55"/>
  <c r="E17" i="55"/>
  <c r="C17" i="55"/>
  <c r="B17" i="55"/>
  <c r="L16" i="55"/>
  <c r="E16" i="55"/>
  <c r="C16" i="55"/>
  <c r="B16" i="55"/>
  <c r="L15" i="55"/>
  <c r="E15" i="55"/>
  <c r="C15" i="55"/>
  <c r="B15" i="55"/>
  <c r="L14" i="55"/>
  <c r="E14" i="55"/>
  <c r="C14" i="55"/>
  <c r="B14" i="55"/>
  <c r="L13" i="55"/>
  <c r="E13" i="55"/>
  <c r="C13" i="55"/>
  <c r="B13" i="55"/>
  <c r="L12" i="55"/>
  <c r="E12" i="55"/>
  <c r="C12" i="55"/>
  <c r="B12" i="55"/>
  <c r="L11" i="55"/>
  <c r="E11" i="55"/>
  <c r="C11" i="55"/>
  <c r="B11" i="55"/>
  <c r="L10" i="55"/>
  <c r="E10" i="55"/>
  <c r="C10" i="55"/>
  <c r="B10" i="55"/>
  <c r="L9" i="55"/>
  <c r="E9" i="55"/>
  <c r="C9" i="55"/>
  <c r="B9" i="55"/>
  <c r="L8" i="55"/>
  <c r="E8" i="55"/>
  <c r="C8" i="55"/>
  <c r="B8" i="55"/>
  <c r="L7" i="55"/>
  <c r="E7" i="55"/>
  <c r="C7" i="55"/>
  <c r="B7" i="55"/>
  <c r="L6" i="55"/>
  <c r="E6" i="55"/>
  <c r="C6" i="55"/>
  <c r="B6" i="55"/>
  <c r="L5" i="55"/>
  <c r="E5" i="55"/>
  <c r="C5" i="55"/>
  <c r="B5" i="55"/>
  <c r="L4" i="55"/>
  <c r="E4" i="55"/>
  <c r="C4" i="55"/>
  <c r="B4" i="55"/>
  <c r="D158" i="62"/>
  <c r="C158" i="62"/>
  <c r="B158" i="62"/>
  <c r="D157" i="62"/>
  <c r="C157" i="62"/>
  <c r="B157" i="62"/>
  <c r="D156" i="62"/>
  <c r="C156" i="62"/>
  <c r="B156" i="62"/>
  <c r="D155" i="62"/>
  <c r="C155" i="62"/>
  <c r="B155" i="62"/>
  <c r="D154" i="62"/>
  <c r="C154" i="62"/>
  <c r="B154" i="62"/>
  <c r="D153" i="62"/>
  <c r="C153" i="62"/>
  <c r="B153" i="62"/>
  <c r="D152" i="62"/>
  <c r="C152" i="62"/>
  <c r="B152" i="62"/>
  <c r="D151" i="62"/>
  <c r="C151" i="62"/>
  <c r="B151" i="62"/>
  <c r="D150" i="62"/>
  <c r="C150" i="62"/>
  <c r="B150" i="62"/>
  <c r="D149" i="62"/>
  <c r="C149" i="62"/>
  <c r="B149" i="62"/>
  <c r="D148" i="62"/>
  <c r="C148" i="62"/>
  <c r="B148" i="62"/>
  <c r="D147" i="62"/>
  <c r="C147" i="62"/>
  <c r="B147" i="62"/>
  <c r="D146" i="62"/>
  <c r="C146" i="62"/>
  <c r="B146" i="62"/>
  <c r="D145" i="62"/>
  <c r="C145" i="62"/>
  <c r="B145" i="62"/>
  <c r="D144" i="62"/>
  <c r="C144" i="62"/>
  <c r="B144" i="62"/>
  <c r="D143" i="62"/>
  <c r="C143" i="62"/>
  <c r="B143" i="62"/>
  <c r="D142" i="62"/>
  <c r="C142" i="62"/>
  <c r="B142" i="62"/>
  <c r="D141" i="62"/>
  <c r="C141" i="62"/>
  <c r="B141" i="62"/>
  <c r="D140" i="62"/>
  <c r="C140" i="62"/>
  <c r="B140" i="62"/>
  <c r="D139" i="62"/>
  <c r="C139" i="62"/>
  <c r="B139" i="62"/>
  <c r="D138" i="62"/>
  <c r="C138" i="62"/>
  <c r="B138" i="62"/>
  <c r="D137" i="62"/>
  <c r="C137" i="62"/>
  <c r="B137" i="62"/>
  <c r="D136" i="62"/>
  <c r="C136" i="62"/>
  <c r="B136" i="62"/>
  <c r="D135" i="62"/>
  <c r="C135" i="62"/>
  <c r="B135" i="62"/>
  <c r="D134" i="62"/>
  <c r="C134" i="62"/>
  <c r="B134" i="62"/>
  <c r="D133" i="62"/>
  <c r="C133" i="62"/>
  <c r="B133" i="62"/>
  <c r="D132" i="62"/>
  <c r="C132" i="62"/>
  <c r="B132" i="62"/>
  <c r="D131" i="62"/>
  <c r="C131" i="62"/>
  <c r="B131" i="62"/>
  <c r="D130" i="62"/>
  <c r="C130" i="62"/>
  <c r="B130" i="62"/>
  <c r="D129" i="62"/>
  <c r="C129" i="62"/>
  <c r="B129" i="62"/>
  <c r="D128" i="62"/>
  <c r="C128" i="62"/>
  <c r="B128" i="62"/>
  <c r="D127" i="62"/>
  <c r="C127" i="62"/>
  <c r="B127" i="62"/>
  <c r="D126" i="62"/>
  <c r="C126" i="62"/>
  <c r="B126" i="62"/>
  <c r="D125" i="62"/>
  <c r="C125" i="62"/>
  <c r="B125" i="62"/>
  <c r="D124" i="62"/>
  <c r="C124" i="62"/>
  <c r="B124" i="62"/>
  <c r="D123" i="62"/>
  <c r="C123" i="62"/>
  <c r="B123" i="62"/>
  <c r="D122" i="62"/>
  <c r="C122" i="62"/>
  <c r="B122" i="62"/>
  <c r="D121" i="62"/>
  <c r="C121" i="62"/>
  <c r="B121" i="62"/>
  <c r="D120" i="62"/>
  <c r="C120" i="62"/>
  <c r="B120" i="62"/>
  <c r="D119" i="62"/>
  <c r="C119" i="62"/>
  <c r="B119" i="62"/>
  <c r="D118" i="62"/>
  <c r="C118" i="62"/>
  <c r="B118" i="62"/>
  <c r="D117" i="62"/>
  <c r="C117" i="62"/>
  <c r="B117" i="62"/>
  <c r="D116" i="62"/>
  <c r="C116" i="62"/>
  <c r="B116" i="62"/>
  <c r="D115" i="62"/>
  <c r="C115" i="62"/>
  <c r="B115" i="62"/>
  <c r="D114" i="62"/>
  <c r="C114" i="62"/>
  <c r="B114" i="62"/>
  <c r="D113" i="62"/>
  <c r="C113" i="62"/>
  <c r="B113" i="62"/>
  <c r="D112" i="62"/>
  <c r="C112" i="62"/>
  <c r="B112" i="62"/>
  <c r="D111" i="62"/>
  <c r="C111" i="62"/>
  <c r="B111" i="62"/>
  <c r="D110" i="62"/>
  <c r="C110" i="62"/>
  <c r="B110" i="62"/>
  <c r="D109" i="62"/>
  <c r="C109" i="62"/>
  <c r="B109" i="62"/>
  <c r="D108" i="62"/>
  <c r="C108" i="62"/>
  <c r="B108" i="62"/>
  <c r="D107" i="62"/>
  <c r="C107" i="62"/>
  <c r="B107" i="62"/>
  <c r="D106" i="62"/>
  <c r="C106" i="62"/>
  <c r="B106" i="62"/>
  <c r="D105" i="62"/>
  <c r="C105" i="62"/>
  <c r="B105" i="62"/>
  <c r="D104" i="62"/>
  <c r="C104" i="62"/>
  <c r="B104" i="62"/>
  <c r="D103" i="62"/>
  <c r="C103" i="62"/>
  <c r="B103" i="62"/>
  <c r="D102" i="62"/>
  <c r="C102" i="62"/>
  <c r="B102" i="62"/>
  <c r="D101" i="62"/>
  <c r="C101" i="62"/>
  <c r="B101" i="62"/>
  <c r="D100" i="62"/>
  <c r="C100" i="62"/>
  <c r="B100" i="62"/>
  <c r="D99" i="62"/>
  <c r="C99" i="62"/>
  <c r="B99" i="62"/>
  <c r="D98" i="62"/>
  <c r="C98" i="62"/>
  <c r="B98" i="62"/>
  <c r="D97" i="62"/>
  <c r="C97" i="62"/>
  <c r="B97" i="62"/>
  <c r="D96" i="62"/>
  <c r="C96" i="62"/>
  <c r="B96" i="62"/>
  <c r="D95" i="62"/>
  <c r="C95" i="62"/>
  <c r="B95" i="62"/>
  <c r="D94" i="62"/>
  <c r="C94" i="62"/>
  <c r="B94" i="62"/>
  <c r="D93" i="62"/>
  <c r="C93" i="62"/>
  <c r="B93" i="62"/>
  <c r="D92" i="62"/>
  <c r="C92" i="62"/>
  <c r="B92" i="62"/>
  <c r="D91" i="62"/>
  <c r="C91" i="62"/>
  <c r="B91" i="62"/>
  <c r="D90" i="62"/>
  <c r="C90" i="62"/>
  <c r="B90" i="62"/>
  <c r="D89" i="62"/>
  <c r="C89" i="62"/>
  <c r="B89" i="62"/>
  <c r="D88" i="62"/>
  <c r="C88" i="62"/>
  <c r="B88" i="62"/>
  <c r="D87" i="62"/>
  <c r="C87" i="62"/>
  <c r="B87" i="62"/>
  <c r="D86" i="62"/>
  <c r="C86" i="62"/>
  <c r="B86" i="62"/>
  <c r="D85" i="62"/>
  <c r="C85" i="62"/>
  <c r="B85" i="62"/>
  <c r="D84" i="62"/>
  <c r="C84" i="62"/>
  <c r="B84" i="62"/>
  <c r="D83" i="62"/>
  <c r="C83" i="62"/>
  <c r="B83" i="62"/>
  <c r="D82" i="62"/>
  <c r="C82" i="62"/>
  <c r="B82" i="62"/>
  <c r="D81" i="62"/>
  <c r="C81" i="62"/>
  <c r="B81" i="62"/>
  <c r="D80" i="62"/>
  <c r="C80" i="62"/>
  <c r="B80" i="62"/>
  <c r="D79" i="62"/>
  <c r="C79" i="62"/>
  <c r="B79" i="62"/>
  <c r="D78" i="62"/>
  <c r="C78" i="62"/>
  <c r="B78" i="62"/>
  <c r="D77" i="62"/>
  <c r="C77" i="62"/>
  <c r="B77" i="62"/>
  <c r="D76" i="62"/>
  <c r="C76" i="62"/>
  <c r="B76" i="62"/>
  <c r="D75" i="62"/>
  <c r="C75" i="62"/>
  <c r="B75" i="62"/>
  <c r="D74" i="62"/>
  <c r="C74" i="62"/>
  <c r="B74" i="62"/>
  <c r="D73" i="62"/>
  <c r="C73" i="62"/>
  <c r="B73" i="62"/>
  <c r="D72" i="62"/>
  <c r="C72" i="62"/>
  <c r="B72" i="62"/>
  <c r="D71" i="62"/>
  <c r="C71" i="62"/>
  <c r="B71" i="62"/>
  <c r="D70" i="62"/>
  <c r="C70" i="62"/>
  <c r="B70" i="62"/>
  <c r="D69" i="62"/>
  <c r="C69" i="62"/>
  <c r="B69" i="62"/>
  <c r="D68" i="62"/>
  <c r="C68" i="62"/>
  <c r="B68" i="62"/>
  <c r="D67" i="62"/>
  <c r="C67" i="62"/>
  <c r="B67" i="62"/>
  <c r="D66" i="62"/>
  <c r="C66" i="62"/>
  <c r="B66" i="62"/>
  <c r="D65" i="62"/>
  <c r="C65" i="62"/>
  <c r="B65" i="62"/>
  <c r="D64" i="62"/>
  <c r="C64" i="62"/>
  <c r="B64" i="62"/>
  <c r="D63" i="62"/>
  <c r="C63" i="62"/>
  <c r="B63" i="62"/>
  <c r="D62" i="62"/>
  <c r="C62" i="62"/>
  <c r="B62" i="62"/>
  <c r="D61" i="62"/>
  <c r="C61" i="62"/>
  <c r="B61" i="62"/>
  <c r="D60" i="62"/>
  <c r="C60" i="62"/>
  <c r="B60" i="62"/>
  <c r="D59" i="62"/>
  <c r="C59" i="62"/>
  <c r="B59" i="62"/>
  <c r="D58" i="62"/>
  <c r="C58" i="62"/>
  <c r="B58" i="62"/>
  <c r="D57" i="62"/>
  <c r="C57" i="62"/>
  <c r="B57" i="62"/>
  <c r="D56" i="62"/>
  <c r="C56" i="62"/>
  <c r="B56" i="62"/>
  <c r="D55" i="62"/>
  <c r="C55" i="62"/>
  <c r="B55" i="62"/>
  <c r="D54" i="62"/>
  <c r="C54" i="62"/>
  <c r="B54" i="62"/>
  <c r="D53" i="62"/>
  <c r="C53" i="62"/>
  <c r="B53" i="62"/>
  <c r="D52" i="62"/>
  <c r="C52" i="62"/>
  <c r="B52" i="62"/>
  <c r="D51" i="62"/>
  <c r="C51" i="62"/>
  <c r="B51" i="62"/>
  <c r="D50" i="62"/>
  <c r="C50" i="62"/>
  <c r="B50" i="62"/>
  <c r="D49" i="62"/>
  <c r="C49" i="62"/>
  <c r="B49" i="62"/>
  <c r="D48" i="62"/>
  <c r="C48" i="62"/>
  <c r="B48" i="62"/>
  <c r="D47" i="62"/>
  <c r="C47" i="62"/>
  <c r="B47" i="62"/>
  <c r="D46" i="62"/>
  <c r="C46" i="62"/>
  <c r="B46" i="62"/>
  <c r="D45" i="62"/>
  <c r="C45" i="62"/>
  <c r="B45" i="62"/>
  <c r="D44" i="62"/>
  <c r="C44" i="62"/>
  <c r="B44" i="62"/>
  <c r="D43" i="62"/>
  <c r="C43" i="62"/>
  <c r="B43" i="62"/>
  <c r="D42" i="62"/>
  <c r="C42" i="62"/>
  <c r="B42" i="62"/>
  <c r="D41" i="62"/>
  <c r="C41" i="62"/>
  <c r="B41" i="62"/>
  <c r="D40" i="62"/>
  <c r="C40" i="62"/>
  <c r="B40" i="62"/>
  <c r="D39" i="62"/>
  <c r="C39" i="62"/>
  <c r="B39" i="62"/>
  <c r="D38" i="62"/>
  <c r="C38" i="62"/>
  <c r="B38" i="62"/>
  <c r="D37" i="62"/>
  <c r="C37" i="62"/>
  <c r="B37" i="62"/>
  <c r="D36" i="62"/>
  <c r="C36" i="62"/>
  <c r="B36" i="62"/>
  <c r="D35" i="62"/>
  <c r="C35" i="62"/>
  <c r="B35" i="62"/>
  <c r="D34" i="62"/>
  <c r="C34" i="62"/>
  <c r="B34" i="62"/>
  <c r="D33" i="62"/>
  <c r="C33" i="62"/>
  <c r="B33" i="62"/>
  <c r="D32" i="62"/>
  <c r="C32" i="62"/>
  <c r="B32" i="62"/>
  <c r="D31" i="62"/>
  <c r="C31" i="62"/>
  <c r="B31" i="62"/>
  <c r="D30" i="62"/>
  <c r="C30" i="62"/>
  <c r="B30" i="62"/>
  <c r="D29" i="62"/>
  <c r="C29" i="62"/>
  <c r="B29" i="62"/>
  <c r="D28" i="62"/>
  <c r="C28" i="62"/>
  <c r="B28" i="62"/>
  <c r="D27" i="62"/>
  <c r="C27" i="62"/>
  <c r="B27" i="62"/>
  <c r="D26" i="62"/>
  <c r="C26" i="62"/>
  <c r="B26" i="62"/>
  <c r="D25" i="62"/>
  <c r="C25" i="62"/>
  <c r="B25" i="62"/>
  <c r="D24" i="62"/>
  <c r="C24" i="62"/>
  <c r="B24" i="62"/>
  <c r="D23" i="62"/>
  <c r="C23" i="62"/>
  <c r="B23" i="62"/>
  <c r="D22" i="62"/>
  <c r="C22" i="62"/>
  <c r="B22" i="62"/>
  <c r="D21" i="62"/>
  <c r="C21" i="62"/>
  <c r="B21" i="62"/>
  <c r="D20" i="62"/>
  <c r="C20" i="62"/>
  <c r="B20" i="62"/>
  <c r="D19" i="62"/>
  <c r="C19" i="62"/>
  <c r="B19" i="62"/>
  <c r="D18" i="62"/>
  <c r="C18" i="62"/>
  <c r="B18" i="62"/>
  <c r="D17" i="62"/>
  <c r="C17" i="62"/>
  <c r="B17" i="62"/>
  <c r="D16" i="62"/>
  <c r="C16" i="62"/>
  <c r="B16" i="62"/>
  <c r="D15" i="62"/>
  <c r="C15" i="62"/>
  <c r="B15" i="62"/>
  <c r="D14" i="62"/>
  <c r="C14" i="62"/>
  <c r="B14" i="62"/>
  <c r="D13" i="62"/>
  <c r="C13" i="62"/>
  <c r="B13" i="62"/>
  <c r="D12" i="62"/>
  <c r="C12" i="62"/>
  <c r="B12" i="62"/>
  <c r="D11" i="62"/>
  <c r="C11" i="62"/>
  <c r="B11" i="62"/>
  <c r="D10" i="62"/>
  <c r="C10" i="62"/>
  <c r="B10" i="62"/>
  <c r="D9" i="62"/>
  <c r="C9" i="62"/>
  <c r="B9" i="62"/>
  <c r="D8" i="62"/>
  <c r="C8" i="62"/>
  <c r="B8" i="62"/>
  <c r="D7" i="62"/>
  <c r="C7" i="62"/>
  <c r="B7" i="62"/>
  <c r="D6" i="62"/>
  <c r="C6" i="62"/>
  <c r="B6" i="62"/>
  <c r="D5" i="62"/>
  <c r="C5" i="62"/>
  <c r="B5" i="62"/>
  <c r="D4" i="62"/>
  <c r="C4" i="62"/>
  <c r="B4" i="62"/>
  <c r="D3" i="62"/>
  <c r="C3" i="62"/>
  <c r="B3" i="62"/>
  <c r="D2" i="62"/>
  <c r="C2" i="62"/>
  <c r="B2" i="62"/>
  <c r="C158" i="61"/>
  <c r="C157" i="61"/>
  <c r="C156" i="61"/>
  <c r="C155" i="61"/>
  <c r="C154" i="61"/>
  <c r="C153" i="61"/>
  <c r="C152" i="61"/>
  <c r="C151" i="61"/>
  <c r="C150" i="61"/>
  <c r="C149" i="61"/>
  <c r="C148" i="61"/>
  <c r="C147" i="61"/>
  <c r="C146" i="61"/>
  <c r="C145" i="61"/>
  <c r="C144" i="61"/>
  <c r="C143" i="61"/>
  <c r="C142" i="61"/>
  <c r="C141" i="61"/>
  <c r="C140" i="61"/>
  <c r="C139" i="61"/>
  <c r="C138" i="61"/>
  <c r="C137" i="61"/>
  <c r="C136" i="61"/>
  <c r="C135" i="61"/>
  <c r="C134" i="61"/>
  <c r="C133" i="61"/>
  <c r="C132" i="61"/>
  <c r="C131" i="61"/>
  <c r="C130" i="61"/>
  <c r="C129" i="61"/>
  <c r="C128" i="61"/>
  <c r="C127" i="61"/>
  <c r="C126" i="61"/>
  <c r="C125" i="61"/>
  <c r="C124" i="61"/>
  <c r="C123" i="61"/>
  <c r="C122" i="61"/>
  <c r="C121" i="61"/>
  <c r="C120" i="61"/>
  <c r="C119" i="61"/>
  <c r="C118" i="61"/>
  <c r="C117" i="61"/>
  <c r="C116" i="61"/>
  <c r="C115" i="61"/>
  <c r="C114" i="61"/>
  <c r="C113" i="61"/>
  <c r="C112" i="61"/>
  <c r="C111" i="61"/>
  <c r="C110" i="61"/>
  <c r="C109" i="61"/>
  <c r="C108" i="61"/>
  <c r="C107" i="61"/>
  <c r="C106" i="61"/>
  <c r="C105" i="61"/>
  <c r="C104" i="61"/>
  <c r="C103" i="61"/>
  <c r="C102" i="61"/>
  <c r="C101" i="61"/>
  <c r="C100" i="61"/>
  <c r="C99" i="61"/>
  <c r="C98" i="61"/>
  <c r="C97" i="61"/>
  <c r="C96" i="61"/>
  <c r="C95" i="61"/>
  <c r="C94" i="61"/>
  <c r="C93" i="61"/>
  <c r="C92" i="61"/>
  <c r="C91" i="61"/>
  <c r="C90" i="61"/>
  <c r="C89" i="61"/>
  <c r="C88" i="61"/>
  <c r="C87" i="61"/>
  <c r="C86" i="61"/>
  <c r="C85" i="61"/>
  <c r="C84" i="61"/>
  <c r="C83" i="61"/>
  <c r="C82" i="61"/>
  <c r="C81" i="61"/>
  <c r="C80" i="61"/>
  <c r="C79" i="61"/>
  <c r="C78" i="61"/>
  <c r="C77" i="61"/>
  <c r="C76" i="61"/>
  <c r="C75" i="61"/>
  <c r="C74" i="61"/>
  <c r="C73" i="61"/>
  <c r="C72" i="61"/>
  <c r="C71" i="61"/>
  <c r="C70" i="61"/>
  <c r="C69" i="61"/>
  <c r="C68" i="61"/>
  <c r="C67" i="61"/>
  <c r="C66" i="61"/>
  <c r="C65" i="61"/>
  <c r="C64" i="61"/>
  <c r="C63" i="61"/>
  <c r="C62" i="61"/>
  <c r="C61" i="61"/>
  <c r="C60" i="61"/>
  <c r="C59" i="61"/>
  <c r="C58" i="61"/>
  <c r="C57" i="61"/>
  <c r="C56" i="61"/>
  <c r="C55" i="61"/>
  <c r="C54" i="61"/>
  <c r="C53" i="61"/>
  <c r="C52" i="61"/>
  <c r="C51" i="61"/>
  <c r="C50" i="61"/>
  <c r="C49" i="61"/>
  <c r="C48" i="61"/>
  <c r="C47" i="61"/>
  <c r="C46" i="61"/>
  <c r="C45" i="61"/>
  <c r="C44" i="61"/>
  <c r="C43" i="61"/>
  <c r="C42" i="61"/>
  <c r="C41" i="61"/>
  <c r="C40" i="61"/>
  <c r="C39" i="61"/>
  <c r="C38" i="61"/>
  <c r="C37" i="61"/>
  <c r="C36" i="61"/>
  <c r="C35" i="61"/>
  <c r="C34" i="61"/>
  <c r="C33" i="61"/>
  <c r="C32" i="61"/>
  <c r="C31" i="61"/>
  <c r="C30" i="61"/>
  <c r="C29" i="61"/>
  <c r="C28" i="61"/>
  <c r="C27" i="61"/>
  <c r="C26" i="61"/>
  <c r="C25" i="61"/>
  <c r="C24" i="61"/>
  <c r="C23" i="61"/>
  <c r="C22" i="61"/>
  <c r="C21" i="61"/>
  <c r="C20" i="61"/>
  <c r="C19" i="61"/>
  <c r="C18" i="61"/>
  <c r="C17" i="61"/>
  <c r="C16" i="61"/>
  <c r="C15" i="61"/>
  <c r="C14" i="61"/>
  <c r="C13" i="61"/>
  <c r="C12" i="61"/>
  <c r="C11" i="61"/>
  <c r="C10" i="61"/>
  <c r="C9" i="61"/>
  <c r="C8" i="61"/>
  <c r="C7" i="61"/>
  <c r="C6" i="61"/>
  <c r="C5" i="61"/>
  <c r="C4" i="61"/>
  <c r="C3" i="61"/>
  <c r="F158" i="61"/>
  <c r="E158" i="61"/>
  <c r="D158" i="61"/>
  <c r="F157" i="61"/>
  <c r="E157" i="61"/>
  <c r="D157" i="61"/>
  <c r="F156" i="61"/>
  <c r="E156" i="61"/>
  <c r="D156" i="61"/>
  <c r="F155" i="61"/>
  <c r="E155" i="61"/>
  <c r="D155" i="61"/>
  <c r="F154" i="61"/>
  <c r="E154" i="61"/>
  <c r="D154" i="61"/>
  <c r="F153" i="61"/>
  <c r="E153" i="61"/>
  <c r="D153" i="61"/>
  <c r="F152" i="61"/>
  <c r="E152" i="61"/>
  <c r="D152" i="61"/>
  <c r="F151" i="61"/>
  <c r="E151" i="61"/>
  <c r="D151" i="61"/>
  <c r="F150" i="61"/>
  <c r="E150" i="61"/>
  <c r="D150" i="61"/>
  <c r="F149" i="61"/>
  <c r="E149" i="61"/>
  <c r="D149" i="61"/>
  <c r="F148" i="61"/>
  <c r="E148" i="61"/>
  <c r="D148" i="61"/>
  <c r="F147" i="61"/>
  <c r="E147" i="61"/>
  <c r="D147" i="61"/>
  <c r="F146" i="61"/>
  <c r="E146" i="61"/>
  <c r="D146" i="61"/>
  <c r="F145" i="61"/>
  <c r="E145" i="61"/>
  <c r="D145" i="61"/>
  <c r="F144" i="61"/>
  <c r="E144" i="61"/>
  <c r="D144" i="61"/>
  <c r="F143" i="61"/>
  <c r="E143" i="61"/>
  <c r="D143" i="61"/>
  <c r="F142" i="61"/>
  <c r="E142" i="61"/>
  <c r="D142" i="61"/>
  <c r="F141" i="61"/>
  <c r="E141" i="61"/>
  <c r="D141" i="61"/>
  <c r="F140" i="61"/>
  <c r="E140" i="61"/>
  <c r="D140" i="61"/>
  <c r="F139" i="61"/>
  <c r="E139" i="61"/>
  <c r="D139" i="61"/>
  <c r="F138" i="61"/>
  <c r="E138" i="61"/>
  <c r="D138" i="61"/>
  <c r="F137" i="61"/>
  <c r="E137" i="61"/>
  <c r="D137" i="61"/>
  <c r="F136" i="61"/>
  <c r="E136" i="61"/>
  <c r="D136" i="61"/>
  <c r="F135" i="61"/>
  <c r="E135" i="61"/>
  <c r="D135" i="61"/>
  <c r="F134" i="61"/>
  <c r="E134" i="61"/>
  <c r="D134" i="61"/>
  <c r="F133" i="61"/>
  <c r="E133" i="61"/>
  <c r="D133" i="61"/>
  <c r="F132" i="61"/>
  <c r="E132" i="61"/>
  <c r="D132" i="61"/>
  <c r="F131" i="61"/>
  <c r="E131" i="61"/>
  <c r="D131" i="61"/>
  <c r="F130" i="61"/>
  <c r="E130" i="61"/>
  <c r="D130" i="61"/>
  <c r="F129" i="61"/>
  <c r="E129" i="61"/>
  <c r="D129" i="61"/>
  <c r="F128" i="61"/>
  <c r="E128" i="61"/>
  <c r="D128" i="61"/>
  <c r="F127" i="61"/>
  <c r="E127" i="61"/>
  <c r="D127" i="61"/>
  <c r="F126" i="61"/>
  <c r="E126" i="61"/>
  <c r="D126" i="61"/>
  <c r="F125" i="61"/>
  <c r="E125" i="61"/>
  <c r="D125" i="61"/>
  <c r="F124" i="61"/>
  <c r="E124" i="61"/>
  <c r="D124" i="61"/>
  <c r="F123" i="61"/>
  <c r="E123" i="61"/>
  <c r="D123" i="61"/>
  <c r="F122" i="61"/>
  <c r="E122" i="61"/>
  <c r="D122" i="61"/>
  <c r="F121" i="61"/>
  <c r="E121" i="61"/>
  <c r="D121" i="61"/>
  <c r="F120" i="61"/>
  <c r="E120" i="61"/>
  <c r="D120" i="61"/>
  <c r="F119" i="61"/>
  <c r="E119" i="61"/>
  <c r="D119" i="61"/>
  <c r="F118" i="61"/>
  <c r="E118" i="61"/>
  <c r="D118" i="61"/>
  <c r="F117" i="61"/>
  <c r="E117" i="61"/>
  <c r="D117" i="61"/>
  <c r="F116" i="61"/>
  <c r="E116" i="61"/>
  <c r="D116" i="61"/>
  <c r="F115" i="61"/>
  <c r="E115" i="61"/>
  <c r="D115" i="61"/>
  <c r="F114" i="61"/>
  <c r="E114" i="61"/>
  <c r="D114" i="61"/>
  <c r="F113" i="61"/>
  <c r="E113" i="61"/>
  <c r="D113" i="61"/>
  <c r="F112" i="61"/>
  <c r="E112" i="61"/>
  <c r="D112" i="61"/>
  <c r="F111" i="61"/>
  <c r="E111" i="61"/>
  <c r="D111" i="61"/>
  <c r="F110" i="61"/>
  <c r="E110" i="61"/>
  <c r="D110" i="61"/>
  <c r="F109" i="61"/>
  <c r="E109" i="61"/>
  <c r="D109" i="61"/>
  <c r="F108" i="61"/>
  <c r="E108" i="61"/>
  <c r="D108" i="61"/>
  <c r="F107" i="61"/>
  <c r="E107" i="61"/>
  <c r="D107" i="61"/>
  <c r="F106" i="61"/>
  <c r="E106" i="61"/>
  <c r="D106" i="61"/>
  <c r="F105" i="61"/>
  <c r="E105" i="61"/>
  <c r="D105" i="61"/>
  <c r="F104" i="61"/>
  <c r="E104" i="61"/>
  <c r="D104" i="61"/>
  <c r="F103" i="61"/>
  <c r="E103" i="61"/>
  <c r="D103" i="61"/>
  <c r="F102" i="61"/>
  <c r="E102" i="61"/>
  <c r="D102" i="61"/>
  <c r="F101" i="61"/>
  <c r="E101" i="61"/>
  <c r="D101" i="61"/>
  <c r="F100" i="61"/>
  <c r="E100" i="61"/>
  <c r="D100" i="61"/>
  <c r="F99" i="61"/>
  <c r="E99" i="61"/>
  <c r="D99" i="61"/>
  <c r="F98" i="61"/>
  <c r="E98" i="61"/>
  <c r="D98" i="61"/>
  <c r="F97" i="61"/>
  <c r="E97" i="61"/>
  <c r="D97" i="61"/>
  <c r="F96" i="61"/>
  <c r="E96" i="61"/>
  <c r="D96" i="61"/>
  <c r="F95" i="61"/>
  <c r="E95" i="61"/>
  <c r="D95" i="61"/>
  <c r="F94" i="61"/>
  <c r="E94" i="61"/>
  <c r="D94" i="61"/>
  <c r="F93" i="61"/>
  <c r="E93" i="61"/>
  <c r="D93" i="61"/>
  <c r="F92" i="61"/>
  <c r="E92" i="61"/>
  <c r="D92" i="61"/>
  <c r="F91" i="61"/>
  <c r="E91" i="61"/>
  <c r="D91" i="61"/>
  <c r="F90" i="61"/>
  <c r="E90" i="61"/>
  <c r="D90" i="61"/>
  <c r="F89" i="61"/>
  <c r="E89" i="61"/>
  <c r="D89" i="61"/>
  <c r="F88" i="61"/>
  <c r="E88" i="61"/>
  <c r="D88" i="61"/>
  <c r="F87" i="61"/>
  <c r="E87" i="61"/>
  <c r="D87" i="61"/>
  <c r="F86" i="61"/>
  <c r="E86" i="61"/>
  <c r="D86" i="61"/>
  <c r="F85" i="61"/>
  <c r="E85" i="61"/>
  <c r="D85" i="61"/>
  <c r="F84" i="61"/>
  <c r="E84" i="61"/>
  <c r="D84" i="61"/>
  <c r="F83" i="61"/>
  <c r="E83" i="61"/>
  <c r="D83" i="61"/>
  <c r="F82" i="61"/>
  <c r="E82" i="61"/>
  <c r="D82" i="61"/>
  <c r="F81" i="61"/>
  <c r="E81" i="61"/>
  <c r="D81" i="61"/>
  <c r="F80" i="61"/>
  <c r="E80" i="61"/>
  <c r="D80" i="61"/>
  <c r="F79" i="61"/>
  <c r="E79" i="61"/>
  <c r="D79" i="61"/>
  <c r="F78" i="61"/>
  <c r="E78" i="61"/>
  <c r="D78" i="61"/>
  <c r="F77" i="61"/>
  <c r="E77" i="61"/>
  <c r="D77" i="61"/>
  <c r="F76" i="61"/>
  <c r="E76" i="61"/>
  <c r="D76" i="61"/>
  <c r="F75" i="61"/>
  <c r="E75" i="61"/>
  <c r="D75" i="61"/>
  <c r="F74" i="61"/>
  <c r="E74" i="61"/>
  <c r="D74" i="61"/>
  <c r="F73" i="61"/>
  <c r="E73" i="61"/>
  <c r="D73" i="61"/>
  <c r="F72" i="61"/>
  <c r="E72" i="61"/>
  <c r="D72" i="61"/>
  <c r="F71" i="61"/>
  <c r="E71" i="61"/>
  <c r="D71" i="61"/>
  <c r="F70" i="61"/>
  <c r="E70" i="61"/>
  <c r="D70" i="61"/>
  <c r="F69" i="61"/>
  <c r="E69" i="61"/>
  <c r="D69" i="61"/>
  <c r="F68" i="61"/>
  <c r="E68" i="61"/>
  <c r="D68" i="61"/>
  <c r="F67" i="61"/>
  <c r="E67" i="61"/>
  <c r="D67" i="61"/>
  <c r="F66" i="61"/>
  <c r="E66" i="61"/>
  <c r="D66" i="61"/>
  <c r="F65" i="61"/>
  <c r="E65" i="61"/>
  <c r="D65" i="61"/>
  <c r="F64" i="61"/>
  <c r="E64" i="61"/>
  <c r="D64" i="61"/>
  <c r="F63" i="61"/>
  <c r="E63" i="61"/>
  <c r="D63" i="61"/>
  <c r="F62" i="61"/>
  <c r="E62" i="61"/>
  <c r="D62" i="61"/>
  <c r="F61" i="61"/>
  <c r="E61" i="61"/>
  <c r="D61" i="61"/>
  <c r="F60" i="61"/>
  <c r="E60" i="61"/>
  <c r="D60" i="61"/>
  <c r="F59" i="61"/>
  <c r="E59" i="61"/>
  <c r="D59" i="61"/>
  <c r="F58" i="6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 r="B158" i="61"/>
  <c r="B157" i="61"/>
  <c r="B156" i="61"/>
  <c r="B155" i="61"/>
  <c r="B154" i="61"/>
  <c r="B153" i="61"/>
  <c r="B152" i="61"/>
  <c r="B151" i="61"/>
  <c r="B150" i="61"/>
  <c r="B149" i="61"/>
  <c r="B148" i="61"/>
  <c r="B147" i="61"/>
  <c r="B146" i="61"/>
  <c r="B145" i="61"/>
  <c r="B144" i="61"/>
  <c r="B143" i="61"/>
  <c r="B142" i="61"/>
  <c r="B141" i="61"/>
  <c r="B140" i="61"/>
  <c r="B139" i="61"/>
  <c r="B138" i="61"/>
  <c r="B137" i="61"/>
  <c r="B136" i="61"/>
  <c r="B135" i="61"/>
  <c r="B134" i="61"/>
  <c r="B133" i="61"/>
  <c r="B132" i="61"/>
  <c r="B131" i="61"/>
  <c r="B130" i="61"/>
  <c r="B129" i="61"/>
  <c r="B128" i="61"/>
  <c r="B127" i="61"/>
  <c r="B126" i="61"/>
  <c r="B125" i="61"/>
  <c r="B124" i="61"/>
  <c r="B123" i="61"/>
  <c r="B122" i="61"/>
  <c r="B121" i="61"/>
  <c r="B120" i="61"/>
  <c r="B119" i="61"/>
  <c r="B118" i="61"/>
  <c r="B117" i="61"/>
  <c r="B116" i="61"/>
  <c r="B115" i="61"/>
  <c r="B114" i="61"/>
  <c r="B113" i="61"/>
  <c r="B112" i="61"/>
  <c r="B111" i="61"/>
  <c r="B110" i="61"/>
  <c r="B109" i="61"/>
  <c r="B108" i="61"/>
  <c r="B107" i="61"/>
  <c r="B106" i="61"/>
  <c r="B105" i="61"/>
  <c r="B104" i="61"/>
  <c r="B103" i="61"/>
  <c r="B102" i="61"/>
  <c r="B101" i="61"/>
  <c r="B100" i="61"/>
  <c r="B99" i="61"/>
  <c r="B98" i="61"/>
  <c r="B97" i="61"/>
  <c r="B96" i="61"/>
  <c r="B95" i="61"/>
  <c r="B94" i="61"/>
  <c r="B93" i="61"/>
  <c r="B92" i="61"/>
  <c r="B91" i="61"/>
  <c r="B90" i="61"/>
  <c r="B89" i="61"/>
  <c r="B88" i="61"/>
  <c r="B87" i="61"/>
  <c r="B86" i="61"/>
  <c r="B85" i="61"/>
  <c r="B84" i="61"/>
  <c r="B83" i="61"/>
  <c r="B82" i="61"/>
  <c r="B81" i="61"/>
  <c r="B80" i="61"/>
  <c r="B79" i="61"/>
  <c r="B78" i="61"/>
  <c r="B77" i="61"/>
  <c r="B76" i="61"/>
  <c r="B75" i="61"/>
  <c r="B74" i="61"/>
  <c r="B73" i="61"/>
  <c r="B72" i="61"/>
  <c r="B71" i="61"/>
  <c r="B70" i="61"/>
  <c r="B69" i="61"/>
  <c r="B68" i="61"/>
  <c r="B67" i="61"/>
  <c r="B66" i="61"/>
  <c r="B65" i="61"/>
  <c r="B64" i="61"/>
  <c r="B63" i="61"/>
  <c r="B62" i="61"/>
  <c r="B61" i="61"/>
  <c r="B60" i="61"/>
  <c r="B59" i="61"/>
  <c r="B58" i="61"/>
  <c r="B57" i="61"/>
  <c r="B56" i="61"/>
  <c r="B55" i="61"/>
  <c r="B54" i="61"/>
  <c r="B53" i="61"/>
  <c r="B52" i="61"/>
  <c r="B51" i="61"/>
  <c r="B50" i="61"/>
  <c r="B49" i="61"/>
  <c r="B48" i="61"/>
  <c r="B47" i="61"/>
  <c r="B46" i="61"/>
  <c r="B45" i="61"/>
  <c r="B44" i="61"/>
  <c r="B43" i="61"/>
  <c r="B42" i="61"/>
  <c r="B41" i="61"/>
  <c r="B40" i="61"/>
  <c r="B39" i="61"/>
  <c r="B38" i="61"/>
  <c r="B37" i="61"/>
  <c r="B36" i="61"/>
  <c r="B35" i="61"/>
  <c r="B34" i="61"/>
  <c r="B33" i="61"/>
  <c r="B32" i="61"/>
  <c r="B31" i="61"/>
  <c r="B30" i="61"/>
  <c r="B29" i="61"/>
  <c r="B28" i="61"/>
  <c r="B27" i="61"/>
  <c r="B26" i="61"/>
  <c r="B25" i="61"/>
  <c r="B24" i="61"/>
  <c r="B23" i="61"/>
  <c r="B22" i="61"/>
  <c r="B21" i="61"/>
  <c r="B20" i="61"/>
  <c r="B19" i="61"/>
  <c r="B18" i="61"/>
  <c r="B17" i="61"/>
  <c r="B16" i="61"/>
  <c r="B15" i="61"/>
  <c r="B14" i="61"/>
  <c r="B13" i="61"/>
  <c r="B12" i="61"/>
  <c r="B11" i="61"/>
  <c r="B10" i="61"/>
  <c r="B9" i="61"/>
  <c r="B8" i="61"/>
  <c r="B7" i="61"/>
  <c r="B6" i="61"/>
  <c r="B5" i="61"/>
  <c r="B4" i="61"/>
  <c r="B3" i="61"/>
  <c r="L137" i="1" l="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D2" i="63" l="1"/>
  <c r="A2" i="63" l="1"/>
  <c r="B2" i="63" l="1"/>
  <c r="G319" i="1" l="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L2" i="1"/>
  <c r="K2" i="1"/>
  <c r="J2" i="1"/>
  <c r="G2" i="1"/>
  <c r="C2" i="63"/>
</calcChain>
</file>

<file path=xl/sharedStrings.xml><?xml version="1.0" encoding="utf-8"?>
<sst xmlns="http://schemas.openxmlformats.org/spreadsheetml/2006/main" count="2693" uniqueCount="521">
  <si>
    <t>SRM</t>
  </si>
  <si>
    <t>ID</t>
  </si>
  <si>
    <t>CertRef</t>
  </si>
  <si>
    <t>Value</t>
  </si>
  <si>
    <t>95low</t>
  </si>
  <si>
    <t>95high</t>
  </si>
  <si>
    <t>Measureand</t>
  </si>
  <si>
    <t>DateIssued</t>
  </si>
  <si>
    <t>UnitNumerator</t>
  </si>
  <si>
    <t>UnitDenominator</t>
  </si>
  <si>
    <t>Title</t>
  </si>
  <si>
    <t>Link to pdf</t>
  </si>
  <si>
    <t>https://www-s.nist.gov/srmors/certificates/view_certPDF.cfm?certificate=</t>
  </si>
  <si>
    <t>urines(many)</t>
  </si>
  <si>
    <t>levels 2 and 3 of 955c</t>
  </si>
  <si>
    <t>Certificate Date</t>
  </si>
  <si>
    <t>Comment</t>
  </si>
  <si>
    <t/>
  </si>
  <si>
    <t>k</t>
  </si>
  <si>
    <t>u</t>
  </si>
  <si>
    <t>Introduction</t>
  </si>
  <si>
    <t>-</t>
  </si>
  <si>
    <t>Please enable macros and content if necessary.</t>
  </si>
  <si>
    <t>Instructions</t>
  </si>
  <si>
    <t>Step 1</t>
  </si>
  <si>
    <t>Step 2</t>
  </si>
  <si>
    <t>Supplemental Information</t>
  </si>
  <si>
    <t>Inputs: Compound Name, By total carbons and double bonds</t>
  </si>
  <si>
    <t xml:space="preserve">Start with the acronym found in the worksheet for that lipid type </t>
  </si>
  <si>
    <t xml:space="preserve">Start with the the acronym found in the worksheet for that lipid type </t>
  </si>
  <si>
    <t>Then add a space, the total carbons and double bonds separated by a colon ":"</t>
  </si>
  <si>
    <t>Then add a space and a "P-" for plasmenyl ethers and "O-" for plasmanyl ethers</t>
  </si>
  <si>
    <t>Follow with the total carbons and double bonds separated by a colon ":"</t>
  </si>
  <si>
    <t>Inputs: Compound Name, By acyl constituents</t>
  </si>
  <si>
    <t>Start with the acronym found in the current worksheet (eg. TG, PC, PMe…)</t>
  </si>
  <si>
    <t>Follow with "(", and acyl chains, each denoted by total carbons and unsaturations</t>
  </si>
  <si>
    <t>Each acyl chain can be seperated by an "/" (known fatty acyl chain position)</t>
  </si>
  <si>
    <t>Each acyl chain can be seperated by an "_" (unknown fatty acyl chain position)</t>
  </si>
  <si>
    <t>Note that di- or tri-vinyl ether and ether linked lipids are not supported</t>
  </si>
  <si>
    <t>For public beta release under the NIST Software Disclaimer.</t>
  </si>
  <si>
    <t>Associated with [publication DOI: XXXXXXXXXXXX]</t>
  </si>
  <si>
    <t>Please refer questions, bug reports, or suggestions to authors at:</t>
  </si>
  <si>
    <t>candice.ulmer@nist.gov</t>
  </si>
  <si>
    <t xml:space="preserve">  Jeremy Koelmel</t>
  </si>
  <si>
    <t>jeremykoelmel@gmail.com</t>
  </si>
  <si>
    <t xml:space="preserve">  Jared M. Ragland</t>
  </si>
  <si>
    <t>jared.ragland@nist.gov</t>
  </si>
  <si>
    <t xml:space="preserve">  John Bowden, PhD</t>
  </si>
  <si>
    <t>john.bowden@nist.gov</t>
  </si>
  <si>
    <t>Material Name</t>
  </si>
  <si>
    <t>Material Number</t>
  </si>
  <si>
    <t xml:space="preserve">  Candice Ulmer, PhD</t>
  </si>
  <si>
    <t>Key</t>
  </si>
  <si>
    <t>CDCA</t>
  </si>
  <si>
    <t>CA</t>
  </si>
  <si>
    <t>DCA</t>
  </si>
  <si>
    <t>GCDCA</t>
  </si>
  <si>
    <t>GDCA</t>
  </si>
  <si>
    <t>GLCA</t>
  </si>
  <si>
    <t>GUDCA</t>
  </si>
  <si>
    <t>GCA</t>
  </si>
  <si>
    <t>LCA</t>
  </si>
  <si>
    <t>TCDCA</t>
  </si>
  <si>
    <t>TCA</t>
  </si>
  <si>
    <t>TDCA</t>
  </si>
  <si>
    <t>TLCA</t>
  </si>
  <si>
    <t>UDCA</t>
  </si>
  <si>
    <t>CE 14:0</t>
  </si>
  <si>
    <t>CE 15:0</t>
  </si>
  <si>
    <t>CE 16:0</t>
  </si>
  <si>
    <t>CE 16:1</t>
  </si>
  <si>
    <t>CE 16:2</t>
  </si>
  <si>
    <t>CE 17:1</t>
  </si>
  <si>
    <t>CE 18:0</t>
  </si>
  <si>
    <t>CE 18:1</t>
  </si>
  <si>
    <t>CE 18:2</t>
  </si>
  <si>
    <t>CE 18:3</t>
  </si>
  <si>
    <t>CE 20:3</t>
  </si>
  <si>
    <t>CE 20:4</t>
  </si>
  <si>
    <t>CE 20:5</t>
  </si>
  <si>
    <t>CE 22:5</t>
  </si>
  <si>
    <t>CE 22:6</t>
  </si>
  <si>
    <t>Cholesterol</t>
  </si>
  <si>
    <t>HexCer d34:1</t>
  </si>
  <si>
    <t>HexCer d36:1</t>
  </si>
  <si>
    <t>HexCer d40:1</t>
  </si>
  <si>
    <t>HexCer d42:1</t>
  </si>
  <si>
    <t>CER d34:1</t>
  </si>
  <si>
    <t>CER d36:1</t>
  </si>
  <si>
    <t>CER d38:1</t>
  </si>
  <si>
    <t>CER d40:1</t>
  </si>
  <si>
    <t>CER d40:2</t>
  </si>
  <si>
    <t>CER d41:1</t>
  </si>
  <si>
    <t>CER d42:1</t>
  </si>
  <si>
    <t>CER d42:2</t>
  </si>
  <si>
    <t>DAG 30:0</t>
  </si>
  <si>
    <t>DAG 34:1</t>
  </si>
  <si>
    <t>DAG 36:2</t>
  </si>
  <si>
    <t>DAG 36:3</t>
  </si>
  <si>
    <t>DAG 36:4</t>
  </si>
  <si>
    <t>FFA 16:0</t>
  </si>
  <si>
    <t>FFA 18:3</t>
  </si>
  <si>
    <t>FFA 20:4</t>
  </si>
  <si>
    <t>FFA 20:5</t>
  </si>
  <si>
    <t>FFA 22:6</t>
  </si>
  <si>
    <t>12-HETE</t>
  </si>
  <si>
    <t>15-HETE</t>
  </si>
  <si>
    <t>5-HETE</t>
  </si>
  <si>
    <t>LPC 14:0</t>
  </si>
  <si>
    <t>LPC 15:0</t>
  </si>
  <si>
    <t>LPC 16:0</t>
  </si>
  <si>
    <t>LPC O-16:0</t>
  </si>
  <si>
    <t>LPC P-16:0</t>
  </si>
  <si>
    <t>LPC 16:1</t>
  </si>
  <si>
    <t>LPC 17:0</t>
  </si>
  <si>
    <t>LPC 17:1</t>
  </si>
  <si>
    <t>LPC 18:0</t>
  </si>
  <si>
    <t>LPC O-18:0</t>
  </si>
  <si>
    <t>LPC 18:1</t>
  </si>
  <si>
    <t>LPC 18:2</t>
  </si>
  <si>
    <t>LPC 18:3</t>
  </si>
  <si>
    <t>LPC 20:0</t>
  </si>
  <si>
    <t>LPC 20:1</t>
  </si>
  <si>
    <t>LPC 20:2</t>
  </si>
  <si>
    <t>LPC 20:3</t>
  </si>
  <si>
    <t>LPC 20:4</t>
  </si>
  <si>
    <t>LPC 20:5</t>
  </si>
  <si>
    <t>LPC 22:0</t>
  </si>
  <si>
    <t>LPC 22:1</t>
  </si>
  <si>
    <t>LPC 22:4</t>
  </si>
  <si>
    <t>LPC 22:5</t>
  </si>
  <si>
    <t>LPC 22:6</t>
  </si>
  <si>
    <t>LPC 24:0</t>
  </si>
  <si>
    <t>LPE 16:0</t>
  </si>
  <si>
    <t>LPE 18:0</t>
  </si>
  <si>
    <t>LPE 18:1</t>
  </si>
  <si>
    <t>LPE 18:2</t>
  </si>
  <si>
    <t>LPE 20:4</t>
  </si>
  <si>
    <t>LPE 22:6</t>
  </si>
  <si>
    <t>PC 30:0</t>
  </si>
  <si>
    <t>PC O-30:0/29:0</t>
  </si>
  <si>
    <t>PC O-30:1/P-30:0</t>
  </si>
  <si>
    <t>PC 32:0</t>
  </si>
  <si>
    <t>PC O-32:0/31:0</t>
  </si>
  <si>
    <t>PC 32:1</t>
  </si>
  <si>
    <t>PC O-32:1/P-32:0/31:1</t>
  </si>
  <si>
    <t>PC O-32:2/P-32:1/31:2</t>
  </si>
  <si>
    <t>PC 32:3</t>
  </si>
  <si>
    <t>PC P-33:1/32:2</t>
  </si>
  <si>
    <t>PC 34:0</t>
  </si>
  <si>
    <t>PC O-34:0/33:0</t>
  </si>
  <si>
    <t>PC 34:1</t>
  </si>
  <si>
    <t>PC O-34:1/P-34:0/33:1</t>
  </si>
  <si>
    <t>PC O-34:2/P-34:1/33:2</t>
  </si>
  <si>
    <t>PC O-34:3/P-34:2/33:3</t>
  </si>
  <si>
    <t>PC P-35:1/34:2</t>
  </si>
  <si>
    <t>PC P-35:2/34:3</t>
  </si>
  <si>
    <t>PC O-35:4/34:4</t>
  </si>
  <si>
    <t>PC 34:5</t>
  </si>
  <si>
    <t>PC 36:1</t>
  </si>
  <si>
    <t>PC O-36:1/P-36:0/35:1</t>
  </si>
  <si>
    <t>PC 36:2</t>
  </si>
  <si>
    <t>PC O-36:2/P-36:1/35:2</t>
  </si>
  <si>
    <t>PC 36:3</t>
  </si>
  <si>
    <t>PC O-36:3/P-36:2/35:3</t>
  </si>
  <si>
    <t>PC 36:4</t>
  </si>
  <si>
    <t>PC O-36:4/P-36:3/35:4</t>
  </si>
  <si>
    <t>PC 36:5</t>
  </si>
  <si>
    <t>PC O-36:5/P-36:4/35:5</t>
  </si>
  <si>
    <t>PC P-36:5/35:6</t>
  </si>
  <si>
    <t>PC 36:6</t>
  </si>
  <si>
    <t>PC 38:2</t>
  </si>
  <si>
    <t>PC O-38:2/37:2</t>
  </si>
  <si>
    <t>PC 38:3</t>
  </si>
  <si>
    <t>PC O-38:3/P-38:2/37:3</t>
  </si>
  <si>
    <t>PC 38:4</t>
  </si>
  <si>
    <t>PC O-38:4/P-38:3/37:4</t>
  </si>
  <si>
    <t>PC 38:5</t>
  </si>
  <si>
    <t>PC O-38:5/P-38:4/37:5</t>
  </si>
  <si>
    <t>PC 38:6</t>
  </si>
  <si>
    <t>PC O-38:6/P-38:5/37:6</t>
  </si>
  <si>
    <t>PC P-38:6/36:0</t>
  </si>
  <si>
    <t>PC 40:4</t>
  </si>
  <si>
    <t>PC O-40:2/P-40:1</t>
  </si>
  <si>
    <t>PC O-40:4/P-40:3/39:4</t>
  </si>
  <si>
    <t>PC 40:5</t>
  </si>
  <si>
    <t>PC O-40:5/P-40:4/39:5</t>
  </si>
  <si>
    <t>PC 40:6</t>
  </si>
  <si>
    <t>PC 40:7</t>
  </si>
  <si>
    <t>PC O-40:7/P-40:6/39:7</t>
  </si>
  <si>
    <t>PC 40:8</t>
  </si>
  <si>
    <t>PC O-42:5/P-42:4</t>
  </si>
  <si>
    <t>PE 32:1</t>
  </si>
  <si>
    <t>PE 34:1</t>
  </si>
  <si>
    <t>PE 34:2</t>
  </si>
  <si>
    <t>PE O-34:2/P-34:1</t>
  </si>
  <si>
    <t>PE O-34:3/P-34:2</t>
  </si>
  <si>
    <t>PE 36:0</t>
  </si>
  <si>
    <t>PE 36:1</t>
  </si>
  <si>
    <t>PE 36:2</t>
  </si>
  <si>
    <t>PE O-36:2/P-36:1/35:2</t>
  </si>
  <si>
    <t>PE 36:3</t>
  </si>
  <si>
    <t>PE O-36:3/P-36:2/35:3</t>
  </si>
  <si>
    <t>PE 36:4</t>
  </si>
  <si>
    <t>PE O-36:4/P-36:3</t>
  </si>
  <si>
    <t>PE O-36:5/P-36:4</t>
  </si>
  <si>
    <t>PE 38:3</t>
  </si>
  <si>
    <t>PE 38:4</t>
  </si>
  <si>
    <t>PE O-38:4/P-38:3/37:4</t>
  </si>
  <si>
    <t>PE 38:5</t>
  </si>
  <si>
    <t>PE O-38:5/P-38:4</t>
  </si>
  <si>
    <t>PE 38:6</t>
  </si>
  <si>
    <t>PE O-38:6/P-38:5</t>
  </si>
  <si>
    <t>PE O-38:7/P-38:6</t>
  </si>
  <si>
    <t>PE 40:4</t>
  </si>
  <si>
    <t>PE 40:5</t>
  </si>
  <si>
    <t>PE 40:6</t>
  </si>
  <si>
    <t>PE O-40:6/P-40:5/39:6</t>
  </si>
  <si>
    <t>PE 40:7</t>
  </si>
  <si>
    <t>PE O-40:7/P-40:6/39:7</t>
  </si>
  <si>
    <t>PI 32:1</t>
  </si>
  <si>
    <t>PI 34:1</t>
  </si>
  <si>
    <t>PI 34:2</t>
  </si>
  <si>
    <t>PI 36:1</t>
  </si>
  <si>
    <t>PI 36:2</t>
  </si>
  <si>
    <t>PI 36:3</t>
  </si>
  <si>
    <t>PI 36:4</t>
  </si>
  <si>
    <t>PI 38:3</t>
  </si>
  <si>
    <t>PI 38:4</t>
  </si>
  <si>
    <t>PI 38:5</t>
  </si>
  <si>
    <t>PI 38:6</t>
  </si>
  <si>
    <t>PI 40:4</t>
  </si>
  <si>
    <t>PI 40:6</t>
  </si>
  <si>
    <t>PG 36:2</t>
  </si>
  <si>
    <t>SM d31:1</t>
  </si>
  <si>
    <t>SM d32:1</t>
  </si>
  <si>
    <t>SM d32:2</t>
  </si>
  <si>
    <t>SM d33:1</t>
  </si>
  <si>
    <t>SM d34:0</t>
  </si>
  <si>
    <t>SM d34:1</t>
  </si>
  <si>
    <t>SM d34:2</t>
  </si>
  <si>
    <t>SM d35:1</t>
  </si>
  <si>
    <t>SM d35:2</t>
  </si>
  <si>
    <t>SM d36:0</t>
  </si>
  <si>
    <t>SM d36:1</t>
  </si>
  <si>
    <t>SM d36:2</t>
  </si>
  <si>
    <t>SM d36:3</t>
  </si>
  <si>
    <t>SM d37:1</t>
  </si>
  <si>
    <t>SM d38:1</t>
  </si>
  <si>
    <t>SM d38:2</t>
  </si>
  <si>
    <t>SM d38:3</t>
  </si>
  <si>
    <t>SM d39:1</t>
  </si>
  <si>
    <t>SM d39:2</t>
  </si>
  <si>
    <t>SM d40:1</t>
  </si>
  <si>
    <t>SM d40:2</t>
  </si>
  <si>
    <t>SM d40:3</t>
  </si>
  <si>
    <t>SM d41:1</t>
  </si>
  <si>
    <t>SM d41:2</t>
  </si>
  <si>
    <t>SM d41:3</t>
  </si>
  <si>
    <t>SM d42:1</t>
  </si>
  <si>
    <t>SM d42:2</t>
  </si>
  <si>
    <t>SM d42:3</t>
  </si>
  <si>
    <t>SM d43:2</t>
  </si>
  <si>
    <t>SM d44:2</t>
  </si>
  <si>
    <t>TAG 46:2</t>
  </si>
  <si>
    <t>TAG 48:0</t>
  </si>
  <si>
    <t>TAG 48:1</t>
  </si>
  <si>
    <t>TAG 48:2</t>
  </si>
  <si>
    <t>TAG 48:4</t>
  </si>
  <si>
    <t>TAG 49:1</t>
  </si>
  <si>
    <t>TAG 49:2</t>
  </si>
  <si>
    <t>TAG 50:0</t>
  </si>
  <si>
    <t>TAG 50:1</t>
  </si>
  <si>
    <t>TAG 50:2</t>
  </si>
  <si>
    <t>TAG 50:3</t>
  </si>
  <si>
    <t>TAG 50:4</t>
  </si>
  <si>
    <t>TAG 50:5</t>
  </si>
  <si>
    <t>TAG 51:1</t>
  </si>
  <si>
    <t>TAG 51:2</t>
  </si>
  <si>
    <t>TAG 51:3</t>
  </si>
  <si>
    <t>TAG 52:1</t>
  </si>
  <si>
    <t>TAG 52:2</t>
  </si>
  <si>
    <t>TAG 52:3</t>
  </si>
  <si>
    <t>TAG 52:4</t>
  </si>
  <si>
    <t>TAG 52:5</t>
  </si>
  <si>
    <t>TAG 52:6</t>
  </si>
  <si>
    <t>TAG 52:7</t>
  </si>
  <si>
    <t>TAG 53:2</t>
  </si>
  <si>
    <t>TAG 53:3</t>
  </si>
  <si>
    <t>TAG 53:4</t>
  </si>
  <si>
    <t>TAG 54:1</t>
  </si>
  <si>
    <t>TAG 54:2</t>
  </si>
  <si>
    <t>TAG 54:3</t>
  </si>
  <si>
    <t>TAG 54:4</t>
  </si>
  <si>
    <t>TAG 54:5</t>
  </si>
  <si>
    <t>TAG 54:6</t>
  </si>
  <si>
    <t>TAG 54:7</t>
  </si>
  <si>
    <t>TAG 56:2</t>
  </si>
  <si>
    <t>TAG 56:3</t>
  </si>
  <si>
    <t>TAG 56:4</t>
  </si>
  <si>
    <t>TAG 56:5</t>
  </si>
  <si>
    <t>TAG 56:7</t>
  </si>
  <si>
    <t>TAG 56:9</t>
  </si>
  <si>
    <t>TAG 58:7</t>
  </si>
  <si>
    <t>TAG 58:8</t>
  </si>
  <si>
    <t>TAG 58:9</t>
  </si>
  <si>
    <t>CE 22:0</t>
  </si>
  <si>
    <t>CE 24:0</t>
  </si>
  <si>
    <t>CE 24:1</t>
  </si>
  <si>
    <t>Total Cholesterol</t>
  </si>
  <si>
    <t>HexCer 38:1</t>
  </si>
  <si>
    <t>CER d16:0</t>
  </si>
  <si>
    <t>CER d20:0</t>
  </si>
  <si>
    <t>CER d24:0</t>
  </si>
  <si>
    <t>CER d39:1</t>
  </si>
  <si>
    <t>DAG 40:4</t>
  </si>
  <si>
    <t>FFA 17:0</t>
  </si>
  <si>
    <t>FFA 17:1</t>
  </si>
  <si>
    <t>FFA 20:1</t>
  </si>
  <si>
    <t>LPC O-18:1</t>
  </si>
  <si>
    <t>LPC O-20:0</t>
  </si>
  <si>
    <t>LPC 24:1</t>
  </si>
  <si>
    <t>LPC 26:0</t>
  </si>
  <si>
    <t>PC 28:0</t>
  </si>
  <si>
    <t>PC O-42:6/P-42:5</t>
  </si>
  <si>
    <t>PC O-42:7</t>
  </si>
  <si>
    <t>PC O-44:5/P-44:4</t>
  </si>
  <si>
    <t>PE 34:3</t>
  </si>
  <si>
    <t>PE 35:1</t>
  </si>
  <si>
    <t>PG 34:2</t>
  </si>
  <si>
    <t>PG 36:3</t>
  </si>
  <si>
    <t>PS 38:1</t>
  </si>
  <si>
    <t>PS 38:2</t>
  </si>
  <si>
    <t>SM d35:0</t>
  </si>
  <si>
    <t>SM d42:5</t>
  </si>
  <si>
    <t>TAG 44:3</t>
  </si>
  <si>
    <t>TAG 47:2</t>
  </si>
  <si>
    <t>TAG 49:0</t>
  </si>
  <si>
    <t>TAG 54:8</t>
  </si>
  <si>
    <t>TAG 55:3</t>
  </si>
  <si>
    <t>TAG 58:11</t>
  </si>
  <si>
    <t xml:space="preserve">TAG 58:3 </t>
  </si>
  <si>
    <t>11,12-DiHETrE</t>
  </si>
  <si>
    <t>11-HDoHE</t>
  </si>
  <si>
    <t>12-HHTrE</t>
  </si>
  <si>
    <t>13-HOTrE</t>
  </si>
  <si>
    <t>14-HDoHE</t>
  </si>
  <si>
    <t>17-HDoHE</t>
  </si>
  <si>
    <t>18-HEPE</t>
  </si>
  <si>
    <t>20-HETE</t>
  </si>
  <si>
    <t>5,6-EET</t>
  </si>
  <si>
    <t>5-HEPE</t>
  </si>
  <si>
    <t>8-HETE</t>
  </si>
  <si>
    <t>8-HETrE</t>
  </si>
  <si>
    <t>9,10-DiHOME</t>
  </si>
  <si>
    <t>9-HEPE</t>
  </si>
  <si>
    <t>9-HETE</t>
  </si>
  <si>
    <t>9-HODE</t>
  </si>
  <si>
    <t>PGE2</t>
  </si>
  <si>
    <t>Metabolites in Frozen Human Plasma</t>
  </si>
  <si>
    <t>nmol</t>
  </si>
  <si>
    <t>mL</t>
  </si>
  <si>
    <t>NumLabs</t>
  </si>
  <si>
    <t>ExpandedUncertainty</t>
  </si>
  <si>
    <t>Lipid Name</t>
  </si>
  <si>
    <t>https://www-s.nist.gov/m-srmors/certificates/1950.pdf</t>
  </si>
  <si>
    <t>Concentrations</t>
  </si>
  <si>
    <t>Class</t>
  </si>
  <si>
    <t>Sum Composition</t>
  </si>
  <si>
    <t>SRM 1950 - "Metabolites in Frozen Human Plasma"</t>
  </si>
  <si>
    <t>Step 3</t>
  </si>
  <si>
    <t>Step 4</t>
  </si>
  <si>
    <t>LipidQC</t>
  </si>
  <si>
    <t>One or two tails</t>
  </si>
  <si>
    <t>TG</t>
  </si>
  <si>
    <t>Sphingolipids</t>
  </si>
  <si>
    <t>Any values changed after initial entry will update throughout LipidQC.</t>
  </si>
  <si>
    <t xml:space="preserve">  Christina M. Jones</t>
  </si>
  <si>
    <t>christina.jones@noaa.gov</t>
  </si>
  <si>
    <t>Inputs: Isobaric Species (Not Supported)</t>
  </si>
  <si>
    <t>Input Lipid Species</t>
  </si>
  <si>
    <t>Inputs: Ether-Linked Lipids (By total carbons and double bonds)</t>
  </si>
  <si>
    <t>Inputs: Ether-Linked Lipids (By acyl constituents)</t>
  </si>
  <si>
    <t>Save a copy of this workbook with a meaningful name (automatic). Overwriting the original file is possible but not recommended.</t>
  </si>
  <si>
    <t>Submit only one lipid species per entry (no isobaric entries).</t>
  </si>
  <si>
    <t>Version 1.0</t>
  </si>
  <si>
    <t>CoefficientOfDispersion(%)</t>
  </si>
  <si>
    <t>Submit only one lipid species per entry.</t>
  </si>
  <si>
    <t>Each acyl chain can be seperated by an "/" or "_" for known or unknown fatty acyl 
  chain positions</t>
  </si>
  <si>
    <t>PE O-40:5/P-40:4/39:5</t>
  </si>
  <si>
    <t>StandardUncertainty</t>
  </si>
  <si>
    <t>Select the material against which to compare your values.</t>
  </si>
  <si>
    <t>This tool produces a result table and "landing strip" style control plot comparing experimental results with the NIST interlaboratory consensus means for the chosen material.</t>
  </si>
  <si>
    <r>
      <t xml:space="preserve">Data should be formatted as a standard data table with lipid species as </t>
    </r>
    <r>
      <rPr>
        <i/>
        <sz val="10.5"/>
        <color theme="1"/>
        <rFont val="Calibri"/>
        <family val="2"/>
        <scheme val="minor"/>
      </rPr>
      <t>rows</t>
    </r>
    <r>
      <rPr>
        <sz val="10.5"/>
        <color theme="1"/>
        <rFont val="Calibri"/>
        <family val="2"/>
        <scheme val="minor"/>
      </rPr>
      <t xml:space="preserve"> and samples/replicates as </t>
    </r>
    <r>
      <rPr>
        <i/>
        <sz val="10.5"/>
        <color theme="1"/>
        <rFont val="Calibri"/>
        <family val="2"/>
        <scheme val="minor"/>
      </rPr>
      <t>columns</t>
    </r>
    <r>
      <rPr>
        <sz val="10.5"/>
        <color theme="1"/>
        <rFont val="Calibri"/>
        <family val="2"/>
        <scheme val="minor"/>
      </rPr>
      <t>.</t>
    </r>
  </si>
  <si>
    <r>
      <t>Report measurements for all analytes in (</t>
    </r>
    <r>
      <rPr>
        <b/>
        <sz val="10.5"/>
        <color theme="1"/>
        <rFont val="Calibri"/>
        <family val="2"/>
        <scheme val="minor"/>
      </rPr>
      <t>nmol/mL</t>
    </r>
    <r>
      <rPr>
        <sz val="10.5"/>
        <color theme="1"/>
        <rFont val="Calibri"/>
        <family val="2"/>
        <scheme val="minor"/>
      </rPr>
      <t>).</t>
    </r>
  </si>
  <si>
    <r>
      <rPr>
        <sz val="8"/>
        <color rgb="FFFF0000"/>
        <rFont val="Calibri"/>
        <family val="2"/>
        <scheme val="minor"/>
      </rPr>
      <t xml:space="preserve">           </t>
    </r>
    <r>
      <rPr>
        <u/>
        <sz val="8"/>
        <color rgb="FFFF0000"/>
        <rFont val="Calibri"/>
        <family val="2"/>
        <scheme val="minor"/>
      </rPr>
      <t>See additional details in Supplemental Information below.</t>
    </r>
  </si>
  <si>
    <r>
      <rPr>
        <b/>
        <sz val="10.5"/>
        <color theme="1"/>
        <rFont val="Calibri"/>
        <family val="2"/>
        <scheme val="minor"/>
      </rPr>
      <t>For example</t>
    </r>
    <r>
      <rPr>
        <sz val="10.5"/>
        <color theme="1"/>
        <rFont val="Calibri"/>
        <family val="2"/>
        <scheme val="minor"/>
      </rPr>
      <t>: MG 18:0, PC 34:1, PE 34:2, TG 62:4, etc.</t>
    </r>
  </si>
  <si>
    <r>
      <rPr>
        <b/>
        <sz val="10.5"/>
        <color theme="1"/>
        <rFont val="Calibri"/>
        <family val="2"/>
        <scheme val="minor"/>
      </rPr>
      <t>For example</t>
    </r>
    <r>
      <rPr>
        <sz val="10.5"/>
        <color theme="1"/>
        <rFont val="Calibri"/>
        <family val="2"/>
        <scheme val="minor"/>
      </rPr>
      <t>: PC(18:0/16:0), PE(20:0_22:6), TG(16:0_18:1_20:1)</t>
    </r>
  </si>
  <si>
    <r>
      <rPr>
        <b/>
        <sz val="10.5"/>
        <color theme="1"/>
        <rFont val="Calibri"/>
        <family val="2"/>
        <scheme val="minor"/>
      </rPr>
      <t>For example</t>
    </r>
    <r>
      <rPr>
        <sz val="10.5"/>
        <color theme="1"/>
        <rFont val="Calibri"/>
        <family val="2"/>
        <scheme val="minor"/>
      </rPr>
      <t>: MG P-18:0, PC O-34:1, PE P-34:2, TG P-62:4, etc.</t>
    </r>
  </si>
  <si>
    <r>
      <t>F</t>
    </r>
    <r>
      <rPr>
        <b/>
        <sz val="10.5"/>
        <color theme="1"/>
        <rFont val="Calibri"/>
        <family val="2"/>
        <scheme val="minor"/>
      </rPr>
      <t>or example</t>
    </r>
    <r>
      <rPr>
        <sz val="10.5"/>
        <color theme="1"/>
        <rFont val="Calibri"/>
        <family val="2"/>
        <scheme val="minor"/>
      </rPr>
      <t>: PC(P-16:0_18:0), PE(O-16:1/18:2), TG(O-16:0_18:1_18:3)</t>
    </r>
  </si>
  <si>
    <r>
      <rPr>
        <b/>
        <sz val="10.5"/>
        <color theme="1"/>
        <rFont val="Calibri"/>
        <family val="2"/>
        <scheme val="minor"/>
      </rPr>
      <t xml:space="preserve">Accepted:            </t>
    </r>
    <r>
      <rPr>
        <sz val="10.5"/>
        <color theme="1"/>
        <rFont val="Calibri"/>
        <family val="2"/>
        <scheme val="minor"/>
      </rPr>
      <t>PC O-40:7, PC P-40:6, PC 39:7 (separate entries)</t>
    </r>
  </si>
  <si>
    <r>
      <rPr>
        <b/>
        <sz val="10.5"/>
        <color rgb="FFFF0000"/>
        <rFont val="Calibri"/>
        <family val="2"/>
        <scheme val="minor"/>
      </rPr>
      <t>Not Supported</t>
    </r>
    <r>
      <rPr>
        <sz val="10.5"/>
        <color rgb="FFFF0000"/>
        <rFont val="Calibri"/>
        <family val="2"/>
        <scheme val="minor"/>
      </rPr>
      <t>:</t>
    </r>
    <r>
      <rPr>
        <sz val="10.5"/>
        <color theme="1"/>
        <rFont val="Calibri"/>
        <family val="2"/>
        <scheme val="minor"/>
      </rPr>
      <t xml:space="preserve"> PC O-40:7/PC P-40:6 (single entry)</t>
    </r>
  </si>
  <si>
    <r>
      <t xml:space="preserve">  Input Concentration (nmol/mL)                </t>
    </r>
    <r>
      <rPr>
        <b/>
        <i/>
        <sz val="11"/>
        <color rgb="FFFFFF00"/>
        <rFont val="Arial"/>
        <family val="2"/>
      </rPr>
      <t>Be sure to include appropriate headers for replicates in the row below (e.g., Sample 1, Sample 2, Sample 3)</t>
    </r>
  </si>
  <si>
    <t>Concentrations (nmol/mL)</t>
  </si>
  <si>
    <t>TLCA-S</t>
  </si>
  <si>
    <t>MCA</t>
  </si>
  <si>
    <t>dhS1P</t>
  </si>
  <si>
    <t>S1P</t>
  </si>
  <si>
    <t>12,13-DiHOME</t>
  </si>
  <si>
    <t>12,13-EpOME</t>
  </si>
  <si>
    <t>9-OxoODE</t>
  </si>
  <si>
    <t>CerOH d16:0</t>
  </si>
  <si>
    <t>CerOH d22:0</t>
  </si>
  <si>
    <t>CerOH d24:0</t>
  </si>
  <si>
    <t>CerOH d24:1</t>
  </si>
  <si>
    <t>The first acyl chain should start with a "P-" for plasmenyl ether-linked lipid species and "O-" for 
  plasmanyl ether-linked lipid species</t>
  </si>
  <si>
    <t>±</t>
  </si>
  <si>
    <r>
      <t xml:space="preserve">** Consensus mean </t>
    </r>
    <r>
      <rPr>
        <sz val="11"/>
        <color theme="1"/>
        <rFont val="Calibri"/>
        <family val="2"/>
      </rPr>
      <t xml:space="preserve">± </t>
    </r>
    <r>
      <rPr>
        <sz val="11"/>
        <color theme="1"/>
        <rFont val="Calibri"/>
        <family val="2"/>
        <scheme val="minor"/>
      </rPr>
      <t>standard uncertainty.</t>
    </r>
  </si>
  <si>
    <r>
      <t xml:space="preserve">* Measurement mean </t>
    </r>
    <r>
      <rPr>
        <sz val="11"/>
        <rFont val="Calibri"/>
        <family val="2"/>
      </rPr>
      <t>±</t>
    </r>
    <r>
      <rPr>
        <sz val="11"/>
        <rFont val="Calibri"/>
        <family val="2"/>
        <scheme val="minor"/>
      </rPr>
      <t xml:space="preserve"> 1 standard deviation.</t>
    </r>
  </si>
  <si>
    <t>v1.0.20170809</t>
  </si>
  <si>
    <t>Last Updated 09 August 2017</t>
  </si>
  <si>
    <r>
      <t xml:space="preserve">A community data tool to support lipidomics data workflows and compare experimental concentrations against the consensus means (nmol/mL) from the NIST Lipidomics Interlaboratory Study for lipid species present in </t>
    </r>
    <r>
      <rPr>
        <b/>
        <sz val="10"/>
        <color theme="1"/>
        <rFont val="Arial"/>
        <family val="2"/>
      </rPr>
      <t>NIST SRM 1950</t>
    </r>
    <r>
      <rPr>
        <sz val="10"/>
        <color theme="1"/>
        <rFont val="Arial"/>
        <family val="2"/>
      </rPr>
      <t xml:space="preserve"> - "Metabolites in Frozen Human Plasma"</t>
    </r>
    <r>
      <rPr>
        <sz val="10"/>
        <color theme="1"/>
        <rFont val="Arial"/>
        <family val="2"/>
      </rPr>
      <t>.</t>
    </r>
  </si>
  <si>
    <t>S1</t>
  </si>
  <si>
    <t>S2</t>
  </si>
  <si>
    <t>S3</t>
  </si>
  <si>
    <t>LPC</t>
  </si>
  <si>
    <t>LPE</t>
  </si>
  <si>
    <t>PC</t>
  </si>
  <si>
    <t>PE</t>
  </si>
  <si>
    <t>SM</t>
  </si>
  <si>
    <t>Notes</t>
  </si>
  <si>
    <t>Lipid Species</t>
  </si>
  <si>
    <t>Measurement*</t>
  </si>
  <si>
    <t>Consensus Value**</t>
  </si>
  <si>
    <t>Units</t>
  </si>
  <si>
    <t>No. of labs</t>
  </si>
  <si>
    <t>nmol/mL</t>
  </si>
  <si>
    <t>* Measurement mean ± 1 standard deviation.</t>
  </si>
  <si>
    <t>** Consensus mean ± standard uncertainty.</t>
  </si>
  <si>
    <t>Figure 1</t>
  </si>
  <si>
    <t>Accuracy assessment for SRM 1950 - "Metabolites in Frozen Human Plasma".  Values are presented as normalized coverage equivalents at the mean (dots) and stdev (error bars) of measurements, overlaid onto the consensus mean value (blue line) and uncertainty (95% coverage-green region, 99% coverage-red region).</t>
  </si>
  <si>
    <t>PI</t>
  </si>
  <si>
    <r>
      <t>Table 1</t>
    </r>
    <r>
      <rPr>
        <sz val="12"/>
        <rFont val="Calibri"/>
        <family val="2"/>
        <scheme val="minor"/>
      </rPr>
      <t xml:space="preserve"> Measurement accuracy summary compared against SRM 1950 - "Metabolites in Frozen Human Plasma"</t>
    </r>
  </si>
  <si>
    <t>PE O-38:5</t>
  </si>
  <si>
    <t>PC O-36:4</t>
  </si>
  <si>
    <t>PC O-38:5</t>
  </si>
  <si>
    <t>PE O-40:6</t>
  </si>
  <si>
    <t>PC O-38:4</t>
  </si>
  <si>
    <t>PC O-36:5</t>
  </si>
  <si>
    <t>PE O-38:6</t>
  </si>
  <si>
    <t>PE O-40:5</t>
  </si>
  <si>
    <t>PE O-36:5</t>
  </si>
  <si>
    <t>PC O-34:1</t>
  </si>
  <si>
    <t>PC O-34:3</t>
  </si>
  <si>
    <t>PC P-35:1</t>
  </si>
  <si>
    <t>PE O-36:3</t>
  </si>
  <si>
    <t>PC O-34:2</t>
  </si>
  <si>
    <t>PE O-40:7</t>
  </si>
  <si>
    <t>PC O-32:0</t>
  </si>
  <si>
    <t>PC O-38:6</t>
  </si>
  <si>
    <t>PE O-38:7</t>
  </si>
  <si>
    <t>PC O-42:5</t>
  </si>
  <si>
    <t>PC O-36:2</t>
  </si>
  <si>
    <t>PC O-40:5</t>
  </si>
  <si>
    <t>PE O-38:4</t>
  </si>
  <si>
    <t>PC O-38:2</t>
  </si>
  <si>
    <t>PE O-34:3</t>
  </si>
  <si>
    <t>PC O-40:4</t>
  </si>
  <si>
    <t>PC O-32:1</t>
  </si>
  <si>
    <t>PE O-36:4</t>
  </si>
  <si>
    <t>PE O-36:2</t>
  </si>
  <si>
    <t>PC P-33:1</t>
  </si>
  <si>
    <t>PE O-34:2</t>
  </si>
  <si>
    <t>PC O-38:3</t>
  </si>
  <si>
    <t>PC O-40:7</t>
  </si>
  <si>
    <t>PC O-36:1</t>
  </si>
  <si>
    <t>PC O-34:0</t>
  </si>
  <si>
    <t>PC P-38:6</t>
  </si>
  <si>
    <t>PC O-30:1</t>
  </si>
  <si>
    <t>PC P-36:5</t>
  </si>
  <si>
    <t>PG</t>
  </si>
  <si>
    <t>N/A</t>
  </si>
  <si>
    <t>FFA</t>
  </si>
  <si>
    <t>HexCer</t>
  </si>
  <si>
    <t>Includes only PC O-30:1 results.</t>
  </si>
  <si>
    <t>Includes only PC O-32:0 results.</t>
  </si>
  <si>
    <t>Includes only only PC O-32:1 results.</t>
  </si>
  <si>
    <t>Includes only PC P-33:1 results.</t>
  </si>
  <si>
    <t>Includes only PC O-34:0 results.</t>
  </si>
  <si>
    <t>Includes only only PC O-34:1 results.</t>
  </si>
  <si>
    <t>Includes only only PC O-34:2 results.</t>
  </si>
  <si>
    <t>Includes only only PC O-34:3 results.</t>
  </si>
  <si>
    <t>Includes only PC P-35:1 results.</t>
  </si>
  <si>
    <t>Includes only only PC O-36:1 results.</t>
  </si>
  <si>
    <t>Includes only only PC O-36:2 results.</t>
  </si>
  <si>
    <t>Includes only only PC O-36:4 results.</t>
  </si>
  <si>
    <t>Includes only only PC O-36:5 results.</t>
  </si>
  <si>
    <t>Includes only PC P-36:5 results.</t>
  </si>
  <si>
    <t>Includes only PC O-38:2 results.</t>
  </si>
  <si>
    <t>Includes only only PC O-38:3 results.</t>
  </si>
  <si>
    <t>Includes only only PC O-38:4 results.</t>
  </si>
  <si>
    <t>Includes only only PC O-38:5 results.</t>
  </si>
  <si>
    <t>Includes only only PC O-38:6 results.</t>
  </si>
  <si>
    <t>Includes only PC P-38:6 results.</t>
  </si>
  <si>
    <t>Includes only only PC O-40:4 results.</t>
  </si>
  <si>
    <t>Includes only only PC O-40:5 results.</t>
  </si>
  <si>
    <t>Includes only only PC O-40:7 results.</t>
  </si>
  <si>
    <t>Includes only PC O-42:5 results.</t>
  </si>
  <si>
    <t>Includes only PE O-34:2 results.</t>
  </si>
  <si>
    <t>Includes only PE O-34:3 results.</t>
  </si>
  <si>
    <t>Includes only only PE O-36:2 results.</t>
  </si>
  <si>
    <t>Includes only only PE O-36:3 results.</t>
  </si>
  <si>
    <t>Includes only PE O-36:4 results.</t>
  </si>
  <si>
    <t>Includes only PE O-36:5 results.</t>
  </si>
  <si>
    <t>Includes only only PE O-38:4 results.</t>
  </si>
  <si>
    <t>Includes only PE O-38:5 results.</t>
  </si>
  <si>
    <t>Includes only PE O-38:6 results.</t>
  </si>
  <si>
    <t>Includes only PE O-38:7 results.</t>
  </si>
  <si>
    <t>Includes only only PE O-40:5 results.</t>
  </si>
  <si>
    <t>Includes only only PE O-40:6 results.</t>
  </si>
  <si>
    <t>Includes only only PE O-40:7 results.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</si>
</sst>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7" x14ac:knownFonts="1">
    <font>
      <sz val="11"/>
      <color theme="1"/>
      <name val="Calibri"/>
      <family val="2"/>
      <scheme val="minor"/>
    </font>
    <font>
      <b/>
      <sz val="11"/>
      <color theme="1"/>
      <name val="Calibri"/>
      <family val="2"/>
      <scheme val="minor"/>
    </font>
    <font>
      <sz val="12"/>
      <color theme="1"/>
      <name val="Calibri"/>
      <family val="2"/>
      <scheme val="minor"/>
    </font>
    <font>
      <sz val="10"/>
      <color theme="1"/>
      <name val="Calibri"/>
      <family val="2"/>
      <scheme val="minor"/>
    </font>
    <font>
      <sz val="8"/>
      <color theme="1"/>
      <name val="Calibri"/>
      <family val="2"/>
      <scheme val="minor"/>
    </font>
    <font>
      <sz val="10"/>
      <color rgb="FF000000"/>
      <name val="Arial"/>
      <family val="2"/>
    </font>
    <font>
      <b/>
      <sz val="11"/>
      <color rgb="FFFF0000"/>
      <name val="Calibri"/>
      <family val="2"/>
      <scheme val="minor"/>
    </font>
    <font>
      <i/>
      <sz val="11"/>
      <color rgb="FFFF0000"/>
      <name val="Calibri"/>
      <family val="2"/>
      <scheme val="minor"/>
    </font>
    <font>
      <b/>
      <sz val="18"/>
      <color theme="3"/>
      <name val="Calibri"/>
      <family val="2"/>
      <scheme val="minor"/>
    </font>
    <font>
      <sz val="14"/>
      <color theme="0"/>
      <name val="Calibri"/>
      <family val="2"/>
      <scheme val="minor"/>
    </font>
    <font>
      <sz val="14"/>
      <name val="Calibri"/>
      <family val="2"/>
      <scheme val="minor"/>
    </font>
    <font>
      <u/>
      <sz val="11"/>
      <color theme="10"/>
      <name val="Calibri"/>
      <family val="2"/>
      <scheme val="minor"/>
    </font>
    <font>
      <sz val="14"/>
      <color rgb="FFFFFFFF"/>
      <name val="Calibri"/>
      <family val="2"/>
      <scheme val="minor"/>
    </font>
    <font>
      <b/>
      <sz val="12"/>
      <name val="Calibri"/>
      <family val="2"/>
      <scheme val="minor"/>
    </font>
    <font>
      <sz val="11"/>
      <color theme="1"/>
      <name val="Arial"/>
      <family val="2"/>
    </font>
    <font>
      <b/>
      <sz val="11"/>
      <color theme="1"/>
      <name val="Arial"/>
      <family val="2"/>
    </font>
    <font>
      <sz val="12"/>
      <name val="Calibri"/>
      <family val="2"/>
      <scheme val="minor"/>
    </font>
    <font>
      <sz val="6"/>
      <color theme="1"/>
      <name val="Calibri"/>
      <family val="2"/>
      <scheme val="minor"/>
    </font>
    <font>
      <sz val="11"/>
      <name val="Calibri"/>
      <family val="2"/>
      <scheme val="minor"/>
    </font>
    <font>
      <b/>
      <sz val="11"/>
      <color theme="0"/>
      <name val="Arial"/>
      <family val="2"/>
    </font>
    <font>
      <b/>
      <i/>
      <sz val="11"/>
      <color rgb="FFFFFF00"/>
      <name val="Arial"/>
      <family val="2"/>
    </font>
    <font>
      <u/>
      <sz val="8"/>
      <color rgb="FFFF0000"/>
      <name val="Calibri"/>
      <family val="2"/>
      <scheme val="minor"/>
    </font>
    <font>
      <sz val="8"/>
      <color rgb="FFFF0000"/>
      <name val="Calibri"/>
      <family val="2"/>
      <scheme val="minor"/>
    </font>
    <font>
      <sz val="10"/>
      <color theme="1"/>
      <name val="Arial"/>
      <family val="2"/>
    </font>
    <font>
      <b/>
      <sz val="10"/>
      <color theme="1"/>
      <name val="Arial"/>
      <family val="2"/>
    </font>
    <font>
      <sz val="10.5"/>
      <color theme="1"/>
      <name val="Calibri"/>
      <family val="2"/>
      <scheme val="minor"/>
    </font>
    <font>
      <i/>
      <sz val="10.5"/>
      <color theme="1"/>
      <name val="Calibri"/>
      <family val="2"/>
      <scheme val="minor"/>
    </font>
    <font>
      <b/>
      <sz val="10.5"/>
      <color rgb="FFFF0000"/>
      <name val="Calibri"/>
      <family val="2"/>
      <scheme val="minor"/>
    </font>
    <font>
      <b/>
      <sz val="10.5"/>
      <color theme="1"/>
      <name val="Calibri"/>
      <family val="2"/>
      <scheme val="minor"/>
    </font>
    <font>
      <sz val="10.5"/>
      <color rgb="FFFF0000"/>
      <name val="Calibri"/>
      <family val="2"/>
      <scheme val="minor"/>
    </font>
    <font>
      <sz val="10.5"/>
      <color theme="10"/>
      <name val="Calibri"/>
      <family val="2"/>
      <scheme val="minor"/>
    </font>
    <font>
      <sz val="11"/>
      <color theme="1"/>
      <name val="Calibri"/>
      <family val="2"/>
    </font>
    <font>
      <sz val="11"/>
      <name val="Calibri"/>
      <family val="2"/>
    </font>
    <font>
      <b/>
      <sz val="20"/>
      <color theme="3"/>
      <name val="Arial Black"/>
      <family val="2"/>
    </font>
    <font>
      <b/>
      <sz val="20"/>
      <color rgb="FF44546A"/>
      <name val="Arial Black"/>
      <family val="2"/>
    </font>
    <font>
      <b/>
      <sz val="14"/>
      <color rgb="FF44546A"/>
      <name val="Calibri"/>
      <family val="2"/>
      <scheme val="minor"/>
    </font>
    <font>
      <sz val="11"/>
      <color rgb="FFFFFFFF"/>
      <name val="Calibri"/>
      <family val="2"/>
      <scheme val="minor"/>
    </font>
  </fonts>
  <fills count="10">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rgb="FFC00000"/>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6" tint="-0.499984740745262"/>
        <bgColor indexed="64"/>
      </patternFill>
    </fill>
    <fill>
      <patternFill patternType="solid">
        <fgColor theme="4" tint="0.79995117038483843"/>
        <bgColor indexed="64"/>
      </patternFill>
    </fill>
    <fill>
      <patternFill patternType="solid">
        <fgColor theme="6" tint="0.79995117038483843"/>
        <bgColor indexed="64"/>
      </patternFill>
    </fill>
  </fills>
  <borders count="2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right/>
      <top style="thick">
        <color indexed="64"/>
      </top>
      <bottom style="thin">
        <color indexed="64"/>
      </bottom>
      <diagonal/>
    </border>
    <border>
      <left/>
      <right/>
      <top/>
      <bottom style="thick">
        <color indexed="64"/>
      </bottom>
      <diagonal/>
    </border>
  </borders>
  <cellStyleXfs count="2">
    <xf numFmtId="0" fontId="0" fillId="0" borderId="0"/>
    <xf numFmtId="0" fontId="11" fillId="0" borderId="0" applyNumberFormat="0" applyFill="0" applyBorder="0" applyAlignment="0" applyProtection="0"/>
  </cellStyleXfs>
  <cellXfs count="155">
    <xf numFmtId="0" fontId="0" fillId="0" borderId="0" xfId="0"/>
    <xf numFmtId="164" fontId="0" fillId="0" borderId="0" xfId="0" applyNumberFormat="1"/>
    <xf numFmtId="2" fontId="0" fillId="0" borderId="0" xfId="0" applyNumberFormat="1"/>
    <xf numFmtId="49" fontId="0" fillId="0" borderId="0" xfId="0" applyNumberFormat="1"/>
    <xf numFmtId="0" fontId="0" fillId="0" borderId="0" xfId="0" quotePrefix="1"/>
    <xf numFmtId="0" fontId="1" fillId="0" borderId="1" xfId="0" applyFont="1" applyBorder="1"/>
    <xf numFmtId="14" fontId="1" fillId="0" borderId="1" xfId="0" applyNumberFormat="1" applyFont="1" applyBorder="1" applyAlignment="1">
      <alignment horizontal="center"/>
    </xf>
    <xf numFmtId="14" fontId="0" fillId="0" borderId="0" xfId="0" applyNumberFormat="1" applyAlignment="1">
      <alignment horizontal="center"/>
    </xf>
    <xf numFmtId="0" fontId="0" fillId="0" borderId="0" xfId="0" applyAlignment="1"/>
    <xf numFmtId="0" fontId="0" fillId="0" borderId="0" xfId="0" applyFill="1"/>
    <xf numFmtId="0" fontId="0" fillId="0" borderId="0" xfId="0" applyAlignment="1">
      <alignment horizontal="center"/>
    </xf>
    <xf numFmtId="0" fontId="5" fillId="0" borderId="0" xfId="0" applyFont="1"/>
    <xf numFmtId="0" fontId="2" fillId="0" borderId="0" xfId="0" applyFont="1" applyBorder="1" applyAlignment="1"/>
    <xf numFmtId="14" fontId="3" fillId="0" borderId="0" xfId="0" applyNumberFormat="1" applyFont="1" applyBorder="1" applyAlignment="1"/>
    <xf numFmtId="0" fontId="0" fillId="0" borderId="0" xfId="0" applyFill="1" applyAlignment="1">
      <alignment wrapText="1"/>
    </xf>
    <xf numFmtId="0" fontId="0" fillId="0" borderId="0" xfId="0" quotePrefix="1" applyFill="1" applyAlignment="1">
      <alignment horizontal="right"/>
    </xf>
    <xf numFmtId="0" fontId="0" fillId="0" borderId="0" xfId="0" applyFill="1" applyAlignment="1">
      <alignment horizontal="right"/>
    </xf>
    <xf numFmtId="0" fontId="6" fillId="0" borderId="0" xfId="0" quotePrefix="1" applyFont="1" applyFill="1" applyAlignment="1">
      <alignment horizontal="right"/>
    </xf>
    <xf numFmtId="0" fontId="1" fillId="0" borderId="0" xfId="0" applyFont="1" applyFill="1" applyAlignment="1">
      <alignment wrapText="1"/>
    </xf>
    <xf numFmtId="0" fontId="7" fillId="0" borderId="0" xfId="0" applyFont="1" applyFill="1"/>
    <xf numFmtId="0" fontId="0" fillId="0" borderId="9" xfId="0" applyFill="1" applyBorder="1" applyAlignment="1">
      <alignment wrapText="1"/>
    </xf>
    <xf numFmtId="0" fontId="4" fillId="0" borderId="9" xfId="0" applyFont="1" applyFill="1" applyBorder="1" applyAlignment="1">
      <alignment horizontal="right" wrapText="1"/>
    </xf>
    <xf numFmtId="0" fontId="0" fillId="0" borderId="0" xfId="0" applyFill="1" applyAlignment="1">
      <alignment wrapText="1"/>
    </xf>
    <xf numFmtId="0" fontId="14" fillId="3" borderId="12" xfId="0" applyFont="1" applyFill="1" applyBorder="1" applyAlignment="1">
      <alignment horizontal="center" vertical="center"/>
    </xf>
    <xf numFmtId="0" fontId="14" fillId="3" borderId="3" xfId="0" applyFont="1" applyFill="1" applyBorder="1" applyAlignment="1">
      <alignment horizontal="center" wrapText="1"/>
    </xf>
    <xf numFmtId="0" fontId="14" fillId="3" borderId="3" xfId="0" applyFont="1" applyFill="1" applyBorder="1"/>
    <xf numFmtId="0" fontId="14" fillId="3" borderId="0" xfId="0" applyFont="1" applyFill="1"/>
    <xf numFmtId="0" fontId="14" fillId="3" borderId="3" xfId="0" applyFont="1" applyFill="1" applyBorder="1" applyAlignment="1">
      <alignment vertical="center"/>
    </xf>
    <xf numFmtId="0" fontId="14" fillId="3" borderId="0" xfId="0" applyFont="1" applyFill="1" applyAlignment="1"/>
    <xf numFmtId="0" fontId="14" fillId="3" borderId="0" xfId="0" applyFont="1" applyFill="1" applyAlignment="1">
      <alignment horizontal="center"/>
    </xf>
    <xf numFmtId="0" fontId="14" fillId="3" borderId="0" xfId="0" applyFont="1" applyFill="1" applyBorder="1" applyAlignment="1">
      <alignment horizontal="center"/>
    </xf>
    <xf numFmtId="0" fontId="14" fillId="3" borderId="12" xfId="0" applyFont="1" applyFill="1" applyBorder="1" applyAlignment="1">
      <alignment vertical="center"/>
    </xf>
    <xf numFmtId="0" fontId="16" fillId="0" borderId="0" xfId="0" applyFont="1" applyFill="1" applyAlignment="1">
      <alignment vertical="center"/>
    </xf>
    <xf numFmtId="0" fontId="16" fillId="0" borderId="0" xfId="0" applyFont="1"/>
    <xf numFmtId="0" fontId="14" fillId="0" borderId="0" xfId="0" applyFont="1" applyFill="1" applyAlignment="1"/>
    <xf numFmtId="0" fontId="14" fillId="0" borderId="0" xfId="0" applyFont="1" applyFill="1" applyAlignment="1">
      <alignment horizontal="center"/>
    </xf>
    <xf numFmtId="0" fontId="14" fillId="0" borderId="3" xfId="0" applyFont="1" applyFill="1" applyBorder="1" applyAlignment="1">
      <alignment horizontal="center"/>
    </xf>
    <xf numFmtId="0" fontId="14" fillId="0" borderId="3" xfId="0" applyFont="1" applyFill="1" applyBorder="1" applyAlignment="1">
      <alignment horizontal="center" wrapText="1"/>
    </xf>
    <xf numFmtId="0" fontId="14" fillId="0" borderId="0" xfId="0" applyFont="1" applyFill="1"/>
    <xf numFmtId="0" fontId="0" fillId="0" borderId="0" xfId="0" applyFill="1" applyAlignment="1">
      <alignment wrapText="1"/>
    </xf>
    <xf numFmtId="49" fontId="17" fillId="0" borderId="11" xfId="0" applyNumberFormat="1" applyFont="1" applyFill="1" applyBorder="1" applyAlignment="1">
      <alignment horizontal="right" vertical="top" wrapText="1"/>
    </xf>
    <xf numFmtId="0" fontId="18" fillId="0" borderId="0" xfId="0" quotePrefix="1" applyFont="1" applyFill="1" applyAlignment="1">
      <alignment horizontal="right"/>
    </xf>
    <xf numFmtId="0" fontId="14" fillId="0" borderId="3" xfId="0" applyFont="1" applyFill="1" applyBorder="1" applyAlignment="1">
      <alignment horizontal="left"/>
    </xf>
    <xf numFmtId="0" fontId="14" fillId="0" borderId="0" xfId="0" applyFont="1" applyFill="1" applyAlignment="1">
      <alignment horizontal="left"/>
    </xf>
    <xf numFmtId="0" fontId="0" fillId="0" borderId="0" xfId="0" applyFill="1" applyAlignment="1">
      <alignment wrapText="1"/>
    </xf>
    <xf numFmtId="0" fontId="0" fillId="0" borderId="9" xfId="0" applyFill="1" applyBorder="1"/>
    <xf numFmtId="1" fontId="0" fillId="0" borderId="0" xfId="0" applyNumberFormat="1"/>
    <xf numFmtId="0" fontId="25" fillId="0" borderId="8" xfId="0" applyFont="1" applyFill="1" applyBorder="1"/>
    <xf numFmtId="0" fontId="25" fillId="0" borderId="0" xfId="0" applyFont="1" applyFill="1" applyBorder="1" applyAlignment="1">
      <alignment wrapText="1"/>
    </xf>
    <xf numFmtId="0" fontId="25" fillId="0" borderId="10" xfId="0" applyFont="1" applyFill="1" applyBorder="1"/>
    <xf numFmtId="0" fontId="25" fillId="0" borderId="1" xfId="0" applyFont="1" applyFill="1" applyBorder="1" applyAlignment="1">
      <alignment wrapText="1"/>
    </xf>
    <xf numFmtId="0" fontId="14" fillId="0" borderId="3" xfId="0" applyFont="1" applyFill="1" applyBorder="1" applyAlignment="1">
      <alignment horizontal="left" wrapText="1"/>
    </xf>
    <xf numFmtId="0" fontId="19" fillId="2" borderId="13" xfId="0" applyNumberFormat="1" applyFont="1" applyFill="1" applyBorder="1" applyAlignment="1">
      <alignment horizontal="center"/>
    </xf>
    <xf numFmtId="0" fontId="14" fillId="5" borderId="16" xfId="0" applyNumberFormat="1" applyFont="1" applyFill="1" applyBorder="1" applyAlignment="1">
      <alignment horizontal="center" vertical="center"/>
    </xf>
    <xf numFmtId="0" fontId="14" fillId="6" borderId="19" xfId="0" applyNumberFormat="1" applyFont="1" applyFill="1" applyBorder="1" applyAlignment="1">
      <alignment horizontal="center" wrapText="1"/>
    </xf>
    <xf numFmtId="0" fontId="14" fillId="6" borderId="17" xfId="0" applyNumberFormat="1" applyFont="1" applyFill="1" applyBorder="1" applyAlignment="1">
      <alignment horizontal="center"/>
    </xf>
    <xf numFmtId="0" fontId="14" fillId="6" borderId="18" xfId="0" applyNumberFormat="1" applyFont="1" applyFill="1" applyBorder="1" applyAlignment="1">
      <alignment horizontal="center"/>
    </xf>
    <xf numFmtId="0" fontId="14" fillId="3" borderId="20" xfId="0" applyNumberFormat="1" applyFont="1" applyFill="1" applyBorder="1" applyAlignment="1"/>
    <xf numFmtId="0" fontId="14" fillId="3" borderId="0" xfId="0" applyNumberFormat="1" applyFont="1" applyFill="1" applyAlignment="1">
      <alignment horizontal="center"/>
    </xf>
    <xf numFmtId="0" fontId="14" fillId="3" borderId="0" xfId="0" applyNumberFormat="1" applyFont="1" applyFill="1" applyBorder="1" applyAlignment="1">
      <alignment horizontal="center"/>
    </xf>
    <xf numFmtId="0" fontId="16" fillId="0" borderId="0" xfId="0" applyNumberFormat="1" applyFont="1"/>
    <xf numFmtId="0" fontId="16" fillId="0" borderId="0" xfId="0" applyFont="1" applyBorder="1" applyAlignment="1">
      <alignment vertical="center"/>
    </xf>
    <xf numFmtId="0" fontId="16" fillId="0" borderId="0" xfId="0" applyFont="1" applyAlignment="1">
      <alignment horizontal="center"/>
    </xf>
    <xf numFmtId="0" fontId="0" fillId="0" borderId="0" xfId="0" applyAlignment="1">
      <alignment horizontal="right"/>
    </xf>
    <xf numFmtId="0" fontId="31" fillId="0" borderId="0" xfId="0" applyFont="1"/>
    <xf numFmtId="0" fontId="18" fillId="0" borderId="0" xfId="0" applyFont="1" applyAlignment="1">
      <alignment horizontal="right"/>
    </xf>
    <xf numFmtId="0" fontId="18" fillId="0" borderId="0" xfId="0" applyFont="1" applyAlignment="1">
      <alignment horizontal="left"/>
    </xf>
    <xf numFmtId="0" fontId="16" fillId="0" borderId="0" xfId="0" applyFont="1" applyAlignment="1">
      <alignment horizontal="right"/>
    </xf>
    <xf numFmtId="0" fontId="16" fillId="0" borderId="0" xfId="0" applyNumberFormat="1" applyFont="1" applyAlignment="1">
      <alignment horizontal="right"/>
    </xf>
    <xf numFmtId="0" fontId="16" fillId="0" borderId="0" xfId="0" applyNumberFormat="1" applyFont="1" applyAlignment="1">
      <alignment horizontal="left"/>
    </xf>
    <xf numFmtId="0" fontId="16" fillId="0" borderId="0" xfId="0" applyFont="1" applyAlignment="1">
      <alignment horizontal="left"/>
    </xf>
    <xf numFmtId="0" fontId="0" fillId="0" borderId="0" xfId="0" applyAlignment="1">
      <alignment horizontal="left"/>
    </xf>
    <xf numFmtId="0" fontId="0" fillId="0" borderId="21" xfId="0" applyBorder="1" applyAlignment="1"/>
    <xf numFmtId="0" fontId="0" fillId="0" borderId="21" xfId="0" applyBorder="1" applyAlignment="1">
      <alignment horizontal="left"/>
    </xf>
    <xf numFmtId="0" fontId="3" fillId="0" borderId="0" xfId="0" applyFont="1" applyAlignment="1">
      <alignment horizontal="left"/>
    </xf>
    <xf numFmtId="0" fontId="0" fillId="0" borderId="22" xfId="0" applyBorder="1" applyAlignment="1"/>
    <xf numFmtId="0" fontId="0" fillId="0" borderId="22" xfId="0" applyBorder="1" applyAlignment="1">
      <alignment horizontal="right"/>
    </xf>
    <xf numFmtId="0" fontId="0" fillId="0" borderId="22" xfId="0" applyBorder="1" applyAlignment="1">
      <alignment horizontal="left"/>
    </xf>
    <xf numFmtId="0" fontId="0" fillId="0" borderId="22" xfId="0" applyBorder="1" applyAlignment="1">
      <alignment horizontal="center"/>
    </xf>
    <xf numFmtId="0" fontId="3" fillId="0" borderId="22" xfId="0" applyFont="1" applyBorder="1" applyAlignment="1">
      <alignment horizontal="left"/>
    </xf>
    <xf numFmtId="0" fontId="0" fillId="8" borderId="0" xfId="0" applyFill="1" applyAlignment="1">
      <alignment horizontal="right"/>
    </xf>
    <xf numFmtId="0" fontId="0" fillId="8" borderId="22" xfId="0" applyFill="1" applyBorder="1" applyAlignment="1">
      <alignment horizontal="right"/>
    </xf>
    <xf numFmtId="0" fontId="0" fillId="9" borderId="0" xfId="0" applyFill="1" applyAlignment="1">
      <alignment horizontal="left"/>
    </xf>
    <xf numFmtId="0" fontId="0" fillId="9" borderId="22" xfId="0" applyFill="1" applyBorder="1" applyAlignment="1">
      <alignment horizontal="left"/>
    </xf>
    <xf numFmtId="0" fontId="3" fillId="0" borderId="0" xfId="0" applyFont="1" applyAlignment="1">
      <alignment horizontal="left" vertical="top"/>
    </xf>
    <xf numFmtId="0" fontId="13" fillId="0" borderId="0" xfId="0" applyFont="1" applyAlignment="1">
      <alignment vertical="top"/>
    </xf>
    <xf numFmtId="0" fontId="0" fillId="0" borderId="21" xfId="0" applyBorder="1" applyAlignment="1">
      <alignment horizontal="center"/>
    </xf>
    <xf numFmtId="0" fontId="25" fillId="0" borderId="0" xfId="0" applyFont="1" applyFill="1" applyAlignment="1">
      <alignment wrapText="1"/>
    </xf>
    <xf numFmtId="0" fontId="0" fillId="0" borderId="0" xfId="0" applyFill="1" applyAlignment="1">
      <alignment wrapText="1"/>
    </xf>
    <xf numFmtId="0" fontId="25" fillId="0" borderId="0" xfId="0" applyFont="1" applyFill="1" applyAlignment="1">
      <alignment vertical="top" wrapText="1"/>
    </xf>
    <xf numFmtId="0" fontId="4" fillId="0" borderId="0" xfId="0" applyFont="1" applyFill="1" applyAlignment="1">
      <alignment horizontal="center" vertical="top" wrapText="1"/>
    </xf>
    <xf numFmtId="0" fontId="0" fillId="0" borderId="0" xfId="0" applyFill="1" applyBorder="1" applyAlignment="1">
      <alignment horizontal="center" wrapText="1"/>
    </xf>
    <xf numFmtId="0" fontId="34" fillId="0" borderId="0" xfId="0" applyFont="1" applyFill="1" applyAlignment="1">
      <alignment horizontal="right" vertical="center"/>
    </xf>
    <xf numFmtId="0" fontId="33" fillId="0" borderId="0" xfId="0" applyFont="1" applyFill="1" applyAlignment="1">
      <alignment horizontal="right" vertical="center"/>
    </xf>
    <xf numFmtId="0" fontId="35" fillId="0" borderId="0" xfId="0" applyFont="1" applyFill="1" applyAlignment="1"/>
    <xf numFmtId="0" fontId="25" fillId="0" borderId="0" xfId="0" applyFont="1" applyFill="1" applyAlignment="1">
      <alignment horizontal="left" vertical="top" wrapText="1"/>
    </xf>
    <xf numFmtId="0" fontId="23" fillId="0" borderId="0" xfId="0" applyFont="1" applyFill="1" applyAlignment="1">
      <alignment horizontal="left" vertical="center" wrapText="1"/>
    </xf>
    <xf numFmtId="0" fontId="4" fillId="0" borderId="0" xfId="0" applyFont="1" applyFill="1" applyAlignment="1">
      <alignment horizontal="right" vertical="top" wrapText="1"/>
    </xf>
    <xf numFmtId="0" fontId="27" fillId="0" borderId="0" xfId="0" applyFont="1" applyFill="1" applyAlignment="1">
      <alignment vertical="top" wrapText="1"/>
    </xf>
    <xf numFmtId="0" fontId="25" fillId="0" borderId="0" xfId="0" applyFont="1" applyFill="1" applyAlignment="1">
      <alignment horizontal="left" wrapText="1"/>
    </xf>
    <xf numFmtId="0" fontId="25" fillId="0" borderId="8" xfId="0" applyFont="1" applyFill="1" applyBorder="1" applyAlignment="1"/>
    <xf numFmtId="0" fontId="25" fillId="0" borderId="0" xfId="0" applyFont="1" applyFill="1" applyBorder="1" applyAlignment="1"/>
    <xf numFmtId="0" fontId="25" fillId="0" borderId="9" xfId="0" applyFont="1" applyFill="1" applyBorder="1" applyAlignment="1"/>
    <xf numFmtId="0" fontId="25" fillId="0" borderId="10" xfId="0" applyFont="1" applyFill="1" applyBorder="1" applyAlignment="1">
      <alignment horizontal="left"/>
    </xf>
    <xf numFmtId="0" fontId="25" fillId="0" borderId="1" xfId="0" applyFont="1" applyFill="1" applyBorder="1" applyAlignment="1">
      <alignment horizontal="left"/>
    </xf>
    <xf numFmtId="0" fontId="25" fillId="0" borderId="11" xfId="0" applyFont="1" applyFill="1" applyBorder="1" applyAlignment="1">
      <alignment horizontal="left"/>
    </xf>
    <xf numFmtId="0" fontId="25" fillId="0" borderId="5" xfId="0" applyFont="1" applyFill="1" applyBorder="1" applyAlignment="1"/>
    <xf numFmtId="0" fontId="25" fillId="0" borderId="6" xfId="0" applyFont="1" applyFill="1" applyBorder="1" applyAlignment="1"/>
    <xf numFmtId="0" fontId="25" fillId="0" borderId="7" xfId="0" applyFont="1" applyFill="1" applyBorder="1" applyAlignment="1"/>
    <xf numFmtId="0" fontId="21" fillId="0" borderId="0" xfId="1" applyFont="1" applyFill="1" applyAlignment="1">
      <alignment vertical="top" wrapText="1"/>
    </xf>
    <xf numFmtId="0" fontId="8" fillId="0" borderId="0" xfId="0" applyFont="1" applyFill="1" applyAlignment="1">
      <alignment vertical="top"/>
    </xf>
    <xf numFmtId="0" fontId="8" fillId="0" borderId="1" xfId="0" applyFont="1" applyFill="1" applyBorder="1" applyAlignment="1">
      <alignment vertical="top"/>
    </xf>
    <xf numFmtId="0" fontId="9" fillId="2" borderId="2" xfId="0" applyFont="1" applyFill="1" applyBorder="1" applyAlignment="1"/>
    <xf numFmtId="0" fontId="9" fillId="2" borderId="3" xfId="0" applyFont="1" applyFill="1" applyBorder="1" applyAlignment="1"/>
    <xf numFmtId="0" fontId="9" fillId="2" borderId="4" xfId="0" applyFont="1" applyFill="1" applyBorder="1" applyAlignment="1"/>
    <xf numFmtId="0" fontId="9" fillId="2" borderId="2" xfId="0" applyFont="1" applyFill="1" applyBorder="1" applyAlignment="1">
      <alignment horizontal="left"/>
    </xf>
    <xf numFmtId="0" fontId="9" fillId="2" borderId="3" xfId="0" applyFont="1" applyFill="1" applyBorder="1" applyAlignment="1">
      <alignment horizontal="left"/>
    </xf>
    <xf numFmtId="0" fontId="9" fillId="2" borderId="4" xfId="0" applyFont="1" applyFill="1" applyBorder="1" applyAlignment="1">
      <alignment horizontal="left"/>
    </xf>
    <xf numFmtId="0" fontId="26" fillId="0" borderId="8" xfId="0" applyFont="1" applyFill="1" applyBorder="1" applyAlignment="1">
      <alignment horizontal="left"/>
    </xf>
    <xf numFmtId="0" fontId="26" fillId="0" borderId="0" xfId="0" applyFont="1" applyFill="1" applyBorder="1" applyAlignment="1">
      <alignment horizontal="left"/>
    </xf>
    <xf numFmtId="0" fontId="26" fillId="0" borderId="9" xfId="0" applyFont="1" applyFill="1" applyBorder="1" applyAlignment="1">
      <alignment horizontal="left"/>
    </xf>
    <xf numFmtId="0" fontId="30" fillId="0" borderId="1" xfId="1" applyFont="1" applyFill="1" applyBorder="1" applyAlignment="1">
      <alignment horizontal="left" wrapText="1" indent="5"/>
    </xf>
    <xf numFmtId="0" fontId="12" fillId="2" borderId="2" xfId="1" applyFont="1" applyFill="1" applyBorder="1" applyAlignment="1"/>
    <xf numFmtId="0" fontId="12" fillId="2" borderId="3" xfId="1" applyFont="1" applyFill="1" applyBorder="1" applyAlignment="1"/>
    <xf numFmtId="0" fontId="12" fillId="2" borderId="4" xfId="1" applyFont="1" applyFill="1" applyBorder="1" applyAlignment="1"/>
    <xf numFmtId="0" fontId="10" fillId="0" borderId="5" xfId="0" applyFont="1" applyFill="1" applyBorder="1" applyAlignment="1"/>
    <xf numFmtId="0" fontId="10" fillId="0" borderId="6" xfId="0" applyFont="1" applyFill="1" applyBorder="1" applyAlignment="1"/>
    <xf numFmtId="0" fontId="10" fillId="0" borderId="7" xfId="0" applyFont="1" applyFill="1" applyBorder="1" applyAlignment="1"/>
    <xf numFmtId="0" fontId="13" fillId="0" borderId="8" xfId="0" applyFont="1" applyFill="1" applyBorder="1" applyAlignment="1"/>
    <xf numFmtId="0" fontId="13" fillId="0" borderId="0" xfId="0" applyFont="1" applyFill="1" applyBorder="1" applyAlignment="1"/>
    <xf numFmtId="0" fontId="13" fillId="0" borderId="9" xfId="0" applyFont="1" applyFill="1" applyBorder="1" applyAlignment="1"/>
    <xf numFmtId="0" fontId="30" fillId="0" borderId="0" xfId="1" applyFont="1" applyFill="1" applyBorder="1" applyAlignment="1">
      <alignment horizontal="left" wrapText="1" indent="5"/>
    </xf>
    <xf numFmtId="0" fontId="25" fillId="0" borderId="8" xfId="0" applyFont="1" applyFill="1" applyBorder="1" applyAlignment="1">
      <alignment horizontal="left"/>
    </xf>
    <xf numFmtId="0" fontId="25" fillId="0" borderId="0" xfId="0" applyFont="1" applyFill="1" applyBorder="1" applyAlignment="1">
      <alignment horizontal="left"/>
    </xf>
    <xf numFmtId="0" fontId="25" fillId="0" borderId="9" xfId="0" applyFont="1" applyFill="1" applyBorder="1" applyAlignment="1">
      <alignment horizontal="left"/>
    </xf>
    <xf numFmtId="0" fontId="25" fillId="0" borderId="5" xfId="0" applyFont="1" applyFill="1" applyBorder="1" applyAlignment="1">
      <alignment horizontal="left"/>
    </xf>
    <xf numFmtId="0" fontId="25" fillId="0" borderId="6" xfId="0" applyFont="1" applyFill="1" applyBorder="1" applyAlignment="1">
      <alignment horizontal="left"/>
    </xf>
    <xf numFmtId="0" fontId="25" fillId="0" borderId="7" xfId="0" applyFont="1" applyFill="1" applyBorder="1" applyAlignment="1">
      <alignment horizontal="left"/>
    </xf>
    <xf numFmtId="0" fontId="25" fillId="0" borderId="10" xfId="0" applyFont="1" applyFill="1" applyBorder="1" applyAlignment="1"/>
    <xf numFmtId="0" fontId="25" fillId="0" borderId="1" xfId="0" applyFont="1" applyFill="1" applyBorder="1" applyAlignment="1"/>
    <xf numFmtId="0" fontId="25" fillId="0" borderId="11" xfId="0" applyFont="1" applyFill="1" applyBorder="1" applyAlignment="1"/>
    <xf numFmtId="0" fontId="9" fillId="4" borderId="2" xfId="0" applyFont="1" applyFill="1" applyBorder="1" applyAlignment="1"/>
    <xf numFmtId="0" fontId="9" fillId="4" borderId="3" xfId="0" applyFont="1" applyFill="1" applyBorder="1" applyAlignment="1"/>
    <xf numFmtId="0" fontId="9" fillId="4" borderId="4" xfId="0" applyFont="1" applyFill="1" applyBorder="1" applyAlignment="1"/>
    <xf numFmtId="0" fontId="25" fillId="0" borderId="8" xfId="0" applyFont="1" applyFill="1" applyBorder="1" applyAlignment="1">
      <alignment wrapText="1"/>
    </xf>
    <xf numFmtId="0" fontId="25" fillId="0" borderId="0" xfId="0" applyFont="1" applyFill="1" applyBorder="1" applyAlignment="1">
      <alignment wrapText="1"/>
    </xf>
    <xf numFmtId="0" fontId="25" fillId="0" borderId="9" xfId="0" applyFont="1" applyFill="1" applyBorder="1" applyAlignment="1">
      <alignment wrapText="1"/>
    </xf>
    <xf numFmtId="0" fontId="19" fillId="7" borderId="14" xfId="0" applyNumberFormat="1" applyFont="1" applyFill="1" applyBorder="1" applyAlignment="1">
      <alignment horizontal="left"/>
    </xf>
    <xf numFmtId="0" fontId="19" fillId="7" borderId="15" xfId="0" applyNumberFormat="1" applyFont="1" applyFill="1" applyBorder="1" applyAlignment="1">
      <alignment horizontal="left"/>
    </xf>
    <xf numFmtId="0" fontId="13" fillId="0" borderId="0" xfId="0" applyFont="1" applyAlignment="1">
      <alignment horizontal="left" vertical="top" wrapText="1"/>
    </xf>
    <xf numFmtId="0" fontId="16" fillId="0" borderId="0" xfId="0" applyFont="1" applyAlignment="1">
      <alignment horizontal="left" vertical="top" wrapText="1"/>
    </xf>
    <xf numFmtId="0" fontId="0" fillId="0" borderId="21" xfId="0" applyBorder="1" applyAlignment="1">
      <alignment horizontal="center"/>
    </xf>
    <xf numFmtId="0" fontId="36" fillId="2" borderId="21" xfId="0" applyFont="1" applyFill="1" applyBorder="1" applyAlignment="1">
      <alignment horizontal="center"/>
    </xf>
    <xf numFmtId="0" fontId="15" fillId="3" borderId="1" xfId="0" applyFont="1" applyFill="1" applyBorder="1" applyAlignment="1">
      <alignment horizontal="center"/>
    </xf>
    <xf numFmtId="0" fontId="15"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44546A"/>
      <color rgb="FF379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174958218979058E-2"/>
          <c:y val="7.7511614173228341E-2"/>
          <c:w val="0.88147716874824178"/>
          <c:h val="0.73575039370078743"/>
        </c:manualLayout>
      </c:layout>
      <c:lineChart>
        <c:grouping val="standard"/>
        <c:varyColors val="0"/>
        <c:ser>
          <c:idx val="1"/>
          <c:order val="0"/>
          <c:tx>
            <c:v>Target</c:v>
          </c:tx>
          <c:spPr>
            <a:ln w="19050">
              <a:solidFill>
                <a:schemeClr val="accent1"/>
              </a:solidFill>
              <a:prstDash val="sysDot"/>
            </a:ln>
          </c:spPr>
          <c:marker>
            <c:symbol val="none"/>
          </c:marker>
          <c:errBars>
            <c:errDir val="y"/>
            <c:errBarType val="both"/>
            <c:errValType val="fixedVal"/>
            <c:noEndCap val="1"/>
            <c:val val="2"/>
            <c:spPr>
              <a:ln w="3175000">
                <a:solidFill>
                  <a:schemeClr val="accent3">
                    <a:lumMod val="40000"/>
                    <a:lumOff val="60000"/>
                  </a:schemeClr>
                </a:solidFill>
              </a:ln>
            </c:spPr>
          </c:errBars>
          <c:cat>
            <c:strLit>
              <c:ptCount val="158"/>
              <c:pt idx="1">
                <c:v>FFA 20:4</c:v>
              </c:pt>
              <c:pt idx="2">
                <c:v>FFA 20:5</c:v>
              </c:pt>
              <c:pt idx="3">
                <c:v>FFA 22:6</c:v>
              </c:pt>
              <c:pt idx="4">
                <c:v>LPC 14:0</c:v>
              </c:pt>
              <c:pt idx="5">
                <c:v>LPC 15:0</c:v>
              </c:pt>
              <c:pt idx="6">
                <c:v>LPC 16:0</c:v>
              </c:pt>
              <c:pt idx="7">
                <c:v>LPC O-16:0</c:v>
              </c:pt>
              <c:pt idx="8">
                <c:v>LPC P-16:0</c:v>
              </c:pt>
              <c:pt idx="9">
                <c:v>LPC 16:1</c:v>
              </c:pt>
              <c:pt idx="10">
                <c:v>LPC 17:0</c:v>
              </c:pt>
              <c:pt idx="11">
                <c:v>LPC 17:1</c:v>
              </c:pt>
              <c:pt idx="12">
                <c:v>LPC 18:0</c:v>
              </c:pt>
              <c:pt idx="13">
                <c:v>LPC 18:1</c:v>
              </c:pt>
              <c:pt idx="14">
                <c:v>LPC 18:2</c:v>
              </c:pt>
              <c:pt idx="15">
                <c:v>LPC 20:0</c:v>
              </c:pt>
              <c:pt idx="16">
                <c:v>LPC 20:1</c:v>
              </c:pt>
              <c:pt idx="17">
                <c:v>LPC 20:2</c:v>
              </c:pt>
              <c:pt idx="18">
                <c:v>LPC 20:3</c:v>
              </c:pt>
              <c:pt idx="19">
                <c:v>LPC 20:4</c:v>
              </c:pt>
              <c:pt idx="20">
                <c:v>LPC 20:5</c:v>
              </c:pt>
              <c:pt idx="21">
                <c:v>LPC 22:0</c:v>
              </c:pt>
              <c:pt idx="22">
                <c:v>LPC 22:4</c:v>
              </c:pt>
              <c:pt idx="23">
                <c:v>LPC 22:5</c:v>
              </c:pt>
              <c:pt idx="24">
                <c:v>LPC 22:6</c:v>
              </c:pt>
              <c:pt idx="25">
                <c:v>LPC 24:0</c:v>
              </c:pt>
              <c:pt idx="26">
                <c:v>LPE 16:0</c:v>
              </c:pt>
              <c:pt idx="27">
                <c:v>LPE 18:0</c:v>
              </c:pt>
              <c:pt idx="28">
                <c:v>LPE 18:1</c:v>
              </c:pt>
              <c:pt idx="29">
                <c:v>LPE 18:2</c:v>
              </c:pt>
              <c:pt idx="30">
                <c:v>LPE 20:4</c:v>
              </c:pt>
              <c:pt idx="31">
                <c:v>LPE 22:6</c:v>
              </c:pt>
              <c:pt idx="32">
                <c:v>PC 30:0</c:v>
              </c:pt>
              <c:pt idx="33">
                <c:v>PC O-30:1/P-30:0</c:v>
              </c:pt>
              <c:pt idx="34">
                <c:v>PC 32:0</c:v>
              </c:pt>
              <c:pt idx="35">
                <c:v>PC O-32:0/31:0</c:v>
              </c:pt>
              <c:pt idx="36">
                <c:v>PC 32:1</c:v>
              </c:pt>
              <c:pt idx="37">
                <c:v>PC O-32:1/P-32:0/31:1</c:v>
              </c:pt>
              <c:pt idx="38">
                <c:v>PC P-33:1/32:2</c:v>
              </c:pt>
              <c:pt idx="39">
                <c:v>PC 34:0</c:v>
              </c:pt>
              <c:pt idx="40">
                <c:v>PC O-34:0/33:0</c:v>
              </c:pt>
              <c:pt idx="41">
                <c:v>PC 34:1</c:v>
              </c:pt>
              <c:pt idx="42">
                <c:v>PC O-34:1/P-34:0/33:1</c:v>
              </c:pt>
              <c:pt idx="43">
                <c:v>PC O-34:2/P-34:1/33:2</c:v>
              </c:pt>
              <c:pt idx="44">
                <c:v>PC O-34:3/P-34:2/33:3</c:v>
              </c:pt>
              <c:pt idx="45">
                <c:v>PC P-35:1/34:2</c:v>
              </c:pt>
              <c:pt idx="46">
                <c:v>PC 34:5</c:v>
              </c:pt>
              <c:pt idx="47">
                <c:v>PC 36:1</c:v>
              </c:pt>
              <c:pt idx="48">
                <c:v>PC O-36:1/P-36:0/35:1</c:v>
              </c:pt>
              <c:pt idx="49">
                <c:v>PC 36:2</c:v>
              </c:pt>
              <c:pt idx="50">
                <c:v>PC O-36:2/P-36:1/35:2</c:v>
              </c:pt>
              <c:pt idx="51">
                <c:v>PC 36:3</c:v>
              </c:pt>
              <c:pt idx="52">
                <c:v>PC 36:4</c:v>
              </c:pt>
              <c:pt idx="53">
                <c:v>PC O-36:4/P-36:3/35:4</c:v>
              </c:pt>
              <c:pt idx="54">
                <c:v>PC 36:5</c:v>
              </c:pt>
              <c:pt idx="55">
                <c:v>PC O-36:5/P-36:4/35:5</c:v>
              </c:pt>
              <c:pt idx="56">
                <c:v>PC P-36:5/35:6</c:v>
              </c:pt>
              <c:pt idx="57">
                <c:v>PC 36:6</c:v>
              </c:pt>
              <c:pt idx="58">
                <c:v>PC 38:2</c:v>
              </c:pt>
              <c:pt idx="59">
                <c:v>PC O-38:2/37:2</c:v>
              </c:pt>
              <c:pt idx="60">
                <c:v>PC 38:3</c:v>
              </c:pt>
              <c:pt idx="61">
                <c:v>PC O-38:3/P-38:2/37:3</c:v>
              </c:pt>
              <c:pt idx="62">
                <c:v>PC 38:4</c:v>
              </c:pt>
              <c:pt idx="63">
                <c:v>PC O-38:4/P-38:3/37:4</c:v>
              </c:pt>
              <c:pt idx="64">
                <c:v>PC 38:5</c:v>
              </c:pt>
              <c:pt idx="65">
                <c:v>PC O-38:5/P-38:4/37:5</c:v>
              </c:pt>
              <c:pt idx="66">
                <c:v>PC 38:6</c:v>
              </c:pt>
              <c:pt idx="67">
                <c:v>PC O-38:6/P-38:5/37:6</c:v>
              </c:pt>
              <c:pt idx="68">
                <c:v>PC P-38:6/36:0</c:v>
              </c:pt>
              <c:pt idx="69">
                <c:v>PC 40:4</c:v>
              </c:pt>
              <c:pt idx="70">
                <c:v>PC O-40:4/P-40:3/39:4</c:v>
              </c:pt>
              <c:pt idx="71">
                <c:v>PC 40:5</c:v>
              </c:pt>
              <c:pt idx="72">
                <c:v>PC O-40:5/P-40:4/39:5</c:v>
              </c:pt>
              <c:pt idx="73">
                <c:v>PC 40:6</c:v>
              </c:pt>
              <c:pt idx="74">
                <c:v>PC 40:7</c:v>
              </c:pt>
              <c:pt idx="75">
                <c:v>PC O-40:7/P-40:6/39:7</c:v>
              </c:pt>
              <c:pt idx="76">
                <c:v>PC 40:8</c:v>
              </c:pt>
              <c:pt idx="77">
                <c:v>PC O-42:5/P-42:4</c:v>
              </c:pt>
              <c:pt idx="78">
                <c:v>PE 34:1</c:v>
              </c:pt>
              <c:pt idx="79">
                <c:v>PE 34:2</c:v>
              </c:pt>
              <c:pt idx="80">
                <c:v>PE O-34:2/P-34:1</c:v>
              </c:pt>
              <c:pt idx="81">
                <c:v>PE O-34:3/P-34:2</c:v>
              </c:pt>
              <c:pt idx="82">
                <c:v>PE 36:0</c:v>
              </c:pt>
              <c:pt idx="83">
                <c:v>PE 36:1</c:v>
              </c:pt>
              <c:pt idx="84">
                <c:v>PE O-36:2/P-36:1/35:2</c:v>
              </c:pt>
              <c:pt idx="85">
                <c:v>PE 36:3</c:v>
              </c:pt>
              <c:pt idx="86">
                <c:v>PE O-36:3/P-36:2/35:3</c:v>
              </c:pt>
              <c:pt idx="87">
                <c:v>PE 36:4</c:v>
              </c:pt>
              <c:pt idx="88">
                <c:v>PE O-36:4/P-36:3</c:v>
              </c:pt>
              <c:pt idx="89">
                <c:v>PE O-36:5/P-36:4</c:v>
              </c:pt>
              <c:pt idx="90">
                <c:v>PE 38:3</c:v>
              </c:pt>
              <c:pt idx="91">
                <c:v>PE 38:4</c:v>
              </c:pt>
              <c:pt idx="92">
                <c:v>PE O-38:4/P-38:3/37:4</c:v>
              </c:pt>
              <c:pt idx="93">
                <c:v>PE 38:5</c:v>
              </c:pt>
              <c:pt idx="94">
                <c:v>PE O-38:5/P-38:4</c:v>
              </c:pt>
              <c:pt idx="95">
                <c:v>PE 38:6</c:v>
              </c:pt>
              <c:pt idx="96">
                <c:v>PE O-38:6/P-38:5</c:v>
              </c:pt>
              <c:pt idx="97">
                <c:v>PE O-38:7/P-38:6</c:v>
              </c:pt>
              <c:pt idx="98">
                <c:v>PE 40:4</c:v>
              </c:pt>
              <c:pt idx="99">
                <c:v>PE 40:5</c:v>
              </c:pt>
              <c:pt idx="100">
                <c:v>PE O-40:5/P-40:4/39:5</c:v>
              </c:pt>
              <c:pt idx="101">
                <c:v>PE 40:6</c:v>
              </c:pt>
              <c:pt idx="102">
                <c:v>PE O-40:6/P-40:5/39:6</c:v>
              </c:pt>
              <c:pt idx="103">
                <c:v>PE 40:7</c:v>
              </c:pt>
              <c:pt idx="104">
                <c:v>PE O-40:7/P-40:6/39:7</c:v>
              </c:pt>
              <c:pt idx="105">
                <c:v>PI 32:1</c:v>
              </c:pt>
              <c:pt idx="106">
                <c:v>PI 34:1</c:v>
              </c:pt>
              <c:pt idx="107">
                <c:v>PI 34:2</c:v>
              </c:pt>
              <c:pt idx="108">
                <c:v>PI 36:1</c:v>
              </c:pt>
              <c:pt idx="109">
                <c:v>PI 36:2</c:v>
              </c:pt>
              <c:pt idx="110">
                <c:v>PI 36:3</c:v>
              </c:pt>
              <c:pt idx="111">
                <c:v>PI 36:4</c:v>
              </c:pt>
              <c:pt idx="112">
                <c:v>PI 38:3</c:v>
              </c:pt>
              <c:pt idx="113">
                <c:v>PI 38:4</c:v>
              </c:pt>
              <c:pt idx="114">
                <c:v>PI 38:5</c:v>
              </c:pt>
              <c:pt idx="115">
                <c:v>PI 38:6</c:v>
              </c:pt>
              <c:pt idx="116">
                <c:v>PI 40:4</c:v>
              </c:pt>
              <c:pt idx="117">
                <c:v>PI 40:6</c:v>
              </c:pt>
              <c:pt idx="118">
                <c:v>PG 36:2</c:v>
              </c:pt>
              <c:pt idx="119">
                <c:v>HexCer d42:1</c:v>
              </c:pt>
              <c:pt idx="120">
                <c:v>SM d31:1</c:v>
              </c:pt>
              <c:pt idx="121">
                <c:v>SM d32:1</c:v>
              </c:pt>
              <c:pt idx="122">
                <c:v>SM d32:2</c:v>
              </c:pt>
              <c:pt idx="123">
                <c:v>SM d33:1</c:v>
              </c:pt>
              <c:pt idx="124">
                <c:v>SM d34:0</c:v>
              </c:pt>
              <c:pt idx="125">
                <c:v>SM d34:1</c:v>
              </c:pt>
              <c:pt idx="126">
                <c:v>SM d34:2</c:v>
              </c:pt>
              <c:pt idx="127">
                <c:v>SM d35:1</c:v>
              </c:pt>
              <c:pt idx="128">
                <c:v>SM d35:2</c:v>
              </c:pt>
              <c:pt idx="129">
                <c:v>SM d36:0</c:v>
              </c:pt>
              <c:pt idx="130">
                <c:v>SM d36:1</c:v>
              </c:pt>
              <c:pt idx="131">
                <c:v>SM d36:2</c:v>
              </c:pt>
              <c:pt idx="132">
                <c:v>SM d36:3</c:v>
              </c:pt>
              <c:pt idx="133">
                <c:v>SM d37:1</c:v>
              </c:pt>
              <c:pt idx="134">
                <c:v>SM d38:1</c:v>
              </c:pt>
              <c:pt idx="135">
                <c:v>SM d38:2</c:v>
              </c:pt>
              <c:pt idx="136">
                <c:v>SM d39:1</c:v>
              </c:pt>
              <c:pt idx="137">
                <c:v>SM d39:2</c:v>
              </c:pt>
              <c:pt idx="138">
                <c:v>SM d40:1</c:v>
              </c:pt>
              <c:pt idx="139">
                <c:v>SM d40:2</c:v>
              </c:pt>
              <c:pt idx="140">
                <c:v>SM d40:3</c:v>
              </c:pt>
              <c:pt idx="141">
                <c:v>SM d41:1</c:v>
              </c:pt>
              <c:pt idx="142">
                <c:v>SM d41:2</c:v>
              </c:pt>
              <c:pt idx="143">
                <c:v>SM d41:3</c:v>
              </c:pt>
              <c:pt idx="144">
                <c:v>SM d42:1</c:v>
              </c:pt>
              <c:pt idx="145">
                <c:v>SM d42:2</c:v>
              </c:pt>
              <c:pt idx="146">
                <c:v>SM d42:3</c:v>
              </c:pt>
              <c:pt idx="147">
                <c:v>SM d43:2</c:v>
              </c:pt>
              <c:pt idx="148">
                <c:v>SM d44:2</c:v>
              </c:pt>
              <c:pt idx="149">
                <c:v>CDCA</c:v>
              </c:pt>
              <c:pt idx="150">
                <c:v>CA</c:v>
              </c:pt>
              <c:pt idx="151">
                <c:v>DCA</c:v>
              </c:pt>
              <c:pt idx="152">
                <c:v>GCDCA</c:v>
              </c:pt>
              <c:pt idx="153">
                <c:v>GDCA</c:v>
              </c:pt>
              <c:pt idx="154">
                <c:v>GLCA</c:v>
              </c:pt>
              <c:pt idx="155">
                <c:v>GUDCA</c:v>
              </c:pt>
              <c:pt idx="156">
                <c:v>UDCA</c:v>
              </c:pt>
            </c:strLit>
          </c:cat>
          <c:val>
            <c:numLit>
              <c:formatCode>General</c:formatCode>
              <c:ptCount val="1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numLit>
          </c:val>
          <c:smooth val="0"/>
          <c:extLst xmlns:c16r2="http://schemas.microsoft.com/office/drawing/2015/06/chart">
            <c:ext xmlns:c16="http://schemas.microsoft.com/office/drawing/2014/chart" uri="{C3380CC4-5D6E-409C-BE32-E72D297353CC}">
              <c16:uniqueId val="{00000000-C2CA-430D-9C8A-D21AD632DF1B}"/>
            </c:ext>
          </c:extLst>
        </c:ser>
        <c:ser>
          <c:idx val="2"/>
          <c:order val="1"/>
          <c:tx>
            <c:v>+3k</c:v>
          </c:tx>
          <c:spPr>
            <a:ln w="19050">
              <a:solidFill>
                <a:srgbClr val="FF0000"/>
              </a:solidFill>
              <a:prstDash val="sysDot"/>
            </a:ln>
          </c:spPr>
          <c:marker>
            <c:symbol val="none"/>
          </c:marker>
          <c:cat>
            <c:strLit>
              <c:ptCount val="158"/>
              <c:pt idx="1">
                <c:v>FFA 20:4</c:v>
              </c:pt>
              <c:pt idx="2">
                <c:v>FFA 20:5</c:v>
              </c:pt>
              <c:pt idx="3">
                <c:v>FFA 22:6</c:v>
              </c:pt>
              <c:pt idx="4">
                <c:v>LPC 14:0</c:v>
              </c:pt>
              <c:pt idx="5">
                <c:v>LPC 15:0</c:v>
              </c:pt>
              <c:pt idx="6">
                <c:v>LPC 16:0</c:v>
              </c:pt>
              <c:pt idx="7">
                <c:v>LPC O-16:0</c:v>
              </c:pt>
              <c:pt idx="8">
                <c:v>LPC P-16:0</c:v>
              </c:pt>
              <c:pt idx="9">
                <c:v>LPC 16:1</c:v>
              </c:pt>
              <c:pt idx="10">
                <c:v>LPC 17:0</c:v>
              </c:pt>
              <c:pt idx="11">
                <c:v>LPC 17:1</c:v>
              </c:pt>
              <c:pt idx="12">
                <c:v>LPC 18:0</c:v>
              </c:pt>
              <c:pt idx="13">
                <c:v>LPC 18:1</c:v>
              </c:pt>
              <c:pt idx="14">
                <c:v>LPC 18:2</c:v>
              </c:pt>
              <c:pt idx="15">
                <c:v>LPC 20:0</c:v>
              </c:pt>
              <c:pt idx="16">
                <c:v>LPC 20:1</c:v>
              </c:pt>
              <c:pt idx="17">
                <c:v>LPC 20:2</c:v>
              </c:pt>
              <c:pt idx="18">
                <c:v>LPC 20:3</c:v>
              </c:pt>
              <c:pt idx="19">
                <c:v>LPC 20:4</c:v>
              </c:pt>
              <c:pt idx="20">
                <c:v>LPC 20:5</c:v>
              </c:pt>
              <c:pt idx="21">
                <c:v>LPC 22:0</c:v>
              </c:pt>
              <c:pt idx="22">
                <c:v>LPC 22:4</c:v>
              </c:pt>
              <c:pt idx="23">
                <c:v>LPC 22:5</c:v>
              </c:pt>
              <c:pt idx="24">
                <c:v>LPC 22:6</c:v>
              </c:pt>
              <c:pt idx="25">
                <c:v>LPC 24:0</c:v>
              </c:pt>
              <c:pt idx="26">
                <c:v>LPE 16:0</c:v>
              </c:pt>
              <c:pt idx="27">
                <c:v>LPE 18:0</c:v>
              </c:pt>
              <c:pt idx="28">
                <c:v>LPE 18:1</c:v>
              </c:pt>
              <c:pt idx="29">
                <c:v>LPE 18:2</c:v>
              </c:pt>
              <c:pt idx="30">
                <c:v>LPE 20:4</c:v>
              </c:pt>
              <c:pt idx="31">
                <c:v>LPE 22:6</c:v>
              </c:pt>
              <c:pt idx="32">
                <c:v>PC 30:0</c:v>
              </c:pt>
              <c:pt idx="33">
                <c:v>PC O-30:1/P-30:0</c:v>
              </c:pt>
              <c:pt idx="34">
                <c:v>PC 32:0</c:v>
              </c:pt>
              <c:pt idx="35">
                <c:v>PC O-32:0/31:0</c:v>
              </c:pt>
              <c:pt idx="36">
                <c:v>PC 32:1</c:v>
              </c:pt>
              <c:pt idx="37">
                <c:v>PC O-32:1/P-32:0/31:1</c:v>
              </c:pt>
              <c:pt idx="38">
                <c:v>PC P-33:1/32:2</c:v>
              </c:pt>
              <c:pt idx="39">
                <c:v>PC 34:0</c:v>
              </c:pt>
              <c:pt idx="40">
                <c:v>PC O-34:0/33:0</c:v>
              </c:pt>
              <c:pt idx="41">
                <c:v>PC 34:1</c:v>
              </c:pt>
              <c:pt idx="42">
                <c:v>PC O-34:1/P-34:0/33:1</c:v>
              </c:pt>
              <c:pt idx="43">
                <c:v>PC O-34:2/P-34:1/33:2</c:v>
              </c:pt>
              <c:pt idx="44">
                <c:v>PC O-34:3/P-34:2/33:3</c:v>
              </c:pt>
              <c:pt idx="45">
                <c:v>PC P-35:1/34:2</c:v>
              </c:pt>
              <c:pt idx="46">
                <c:v>PC 34:5</c:v>
              </c:pt>
              <c:pt idx="47">
                <c:v>PC 36:1</c:v>
              </c:pt>
              <c:pt idx="48">
                <c:v>PC O-36:1/P-36:0/35:1</c:v>
              </c:pt>
              <c:pt idx="49">
                <c:v>PC 36:2</c:v>
              </c:pt>
              <c:pt idx="50">
                <c:v>PC O-36:2/P-36:1/35:2</c:v>
              </c:pt>
              <c:pt idx="51">
                <c:v>PC 36:3</c:v>
              </c:pt>
              <c:pt idx="52">
                <c:v>PC 36:4</c:v>
              </c:pt>
              <c:pt idx="53">
                <c:v>PC O-36:4/P-36:3/35:4</c:v>
              </c:pt>
              <c:pt idx="54">
                <c:v>PC 36:5</c:v>
              </c:pt>
              <c:pt idx="55">
                <c:v>PC O-36:5/P-36:4/35:5</c:v>
              </c:pt>
              <c:pt idx="56">
                <c:v>PC P-36:5/35:6</c:v>
              </c:pt>
              <c:pt idx="57">
                <c:v>PC 36:6</c:v>
              </c:pt>
              <c:pt idx="58">
                <c:v>PC 38:2</c:v>
              </c:pt>
              <c:pt idx="59">
                <c:v>PC O-38:2/37:2</c:v>
              </c:pt>
              <c:pt idx="60">
                <c:v>PC 38:3</c:v>
              </c:pt>
              <c:pt idx="61">
                <c:v>PC O-38:3/P-38:2/37:3</c:v>
              </c:pt>
              <c:pt idx="62">
                <c:v>PC 38:4</c:v>
              </c:pt>
              <c:pt idx="63">
                <c:v>PC O-38:4/P-38:3/37:4</c:v>
              </c:pt>
              <c:pt idx="64">
                <c:v>PC 38:5</c:v>
              </c:pt>
              <c:pt idx="65">
                <c:v>PC O-38:5/P-38:4/37:5</c:v>
              </c:pt>
              <c:pt idx="66">
                <c:v>PC 38:6</c:v>
              </c:pt>
              <c:pt idx="67">
                <c:v>PC O-38:6/P-38:5/37:6</c:v>
              </c:pt>
              <c:pt idx="68">
                <c:v>PC P-38:6/36:0</c:v>
              </c:pt>
              <c:pt idx="69">
                <c:v>PC 40:4</c:v>
              </c:pt>
              <c:pt idx="70">
                <c:v>PC O-40:4/P-40:3/39:4</c:v>
              </c:pt>
              <c:pt idx="71">
                <c:v>PC 40:5</c:v>
              </c:pt>
              <c:pt idx="72">
                <c:v>PC O-40:5/P-40:4/39:5</c:v>
              </c:pt>
              <c:pt idx="73">
                <c:v>PC 40:6</c:v>
              </c:pt>
              <c:pt idx="74">
                <c:v>PC 40:7</c:v>
              </c:pt>
              <c:pt idx="75">
                <c:v>PC O-40:7/P-40:6/39:7</c:v>
              </c:pt>
              <c:pt idx="76">
                <c:v>PC 40:8</c:v>
              </c:pt>
              <c:pt idx="77">
                <c:v>PC O-42:5/P-42:4</c:v>
              </c:pt>
              <c:pt idx="78">
                <c:v>PE 34:1</c:v>
              </c:pt>
              <c:pt idx="79">
                <c:v>PE 34:2</c:v>
              </c:pt>
              <c:pt idx="80">
                <c:v>PE O-34:2/P-34:1</c:v>
              </c:pt>
              <c:pt idx="81">
                <c:v>PE O-34:3/P-34:2</c:v>
              </c:pt>
              <c:pt idx="82">
                <c:v>PE 36:0</c:v>
              </c:pt>
              <c:pt idx="83">
                <c:v>PE 36:1</c:v>
              </c:pt>
              <c:pt idx="84">
                <c:v>PE O-36:2/P-36:1/35:2</c:v>
              </c:pt>
              <c:pt idx="85">
                <c:v>PE 36:3</c:v>
              </c:pt>
              <c:pt idx="86">
                <c:v>PE O-36:3/P-36:2/35:3</c:v>
              </c:pt>
              <c:pt idx="87">
                <c:v>PE 36:4</c:v>
              </c:pt>
              <c:pt idx="88">
                <c:v>PE O-36:4/P-36:3</c:v>
              </c:pt>
              <c:pt idx="89">
                <c:v>PE O-36:5/P-36:4</c:v>
              </c:pt>
              <c:pt idx="90">
                <c:v>PE 38:3</c:v>
              </c:pt>
              <c:pt idx="91">
                <c:v>PE 38:4</c:v>
              </c:pt>
              <c:pt idx="92">
                <c:v>PE O-38:4/P-38:3/37:4</c:v>
              </c:pt>
              <c:pt idx="93">
                <c:v>PE 38:5</c:v>
              </c:pt>
              <c:pt idx="94">
                <c:v>PE O-38:5/P-38:4</c:v>
              </c:pt>
              <c:pt idx="95">
                <c:v>PE 38:6</c:v>
              </c:pt>
              <c:pt idx="96">
                <c:v>PE O-38:6/P-38:5</c:v>
              </c:pt>
              <c:pt idx="97">
                <c:v>PE O-38:7/P-38:6</c:v>
              </c:pt>
              <c:pt idx="98">
                <c:v>PE 40:4</c:v>
              </c:pt>
              <c:pt idx="99">
                <c:v>PE 40:5</c:v>
              </c:pt>
              <c:pt idx="100">
                <c:v>PE O-40:5/P-40:4/39:5</c:v>
              </c:pt>
              <c:pt idx="101">
                <c:v>PE 40:6</c:v>
              </c:pt>
              <c:pt idx="102">
                <c:v>PE O-40:6/P-40:5/39:6</c:v>
              </c:pt>
              <c:pt idx="103">
                <c:v>PE 40:7</c:v>
              </c:pt>
              <c:pt idx="104">
                <c:v>PE O-40:7/P-40:6/39:7</c:v>
              </c:pt>
              <c:pt idx="105">
                <c:v>PI 32:1</c:v>
              </c:pt>
              <c:pt idx="106">
                <c:v>PI 34:1</c:v>
              </c:pt>
              <c:pt idx="107">
                <c:v>PI 34:2</c:v>
              </c:pt>
              <c:pt idx="108">
                <c:v>PI 36:1</c:v>
              </c:pt>
              <c:pt idx="109">
                <c:v>PI 36:2</c:v>
              </c:pt>
              <c:pt idx="110">
                <c:v>PI 36:3</c:v>
              </c:pt>
              <c:pt idx="111">
                <c:v>PI 36:4</c:v>
              </c:pt>
              <c:pt idx="112">
                <c:v>PI 38:3</c:v>
              </c:pt>
              <c:pt idx="113">
                <c:v>PI 38:4</c:v>
              </c:pt>
              <c:pt idx="114">
                <c:v>PI 38:5</c:v>
              </c:pt>
              <c:pt idx="115">
                <c:v>PI 38:6</c:v>
              </c:pt>
              <c:pt idx="116">
                <c:v>PI 40:4</c:v>
              </c:pt>
              <c:pt idx="117">
                <c:v>PI 40:6</c:v>
              </c:pt>
              <c:pt idx="118">
                <c:v>PG 36:2</c:v>
              </c:pt>
              <c:pt idx="119">
                <c:v>HexCer d42:1</c:v>
              </c:pt>
              <c:pt idx="120">
                <c:v>SM d31:1</c:v>
              </c:pt>
              <c:pt idx="121">
                <c:v>SM d32:1</c:v>
              </c:pt>
              <c:pt idx="122">
                <c:v>SM d32:2</c:v>
              </c:pt>
              <c:pt idx="123">
                <c:v>SM d33:1</c:v>
              </c:pt>
              <c:pt idx="124">
                <c:v>SM d34:0</c:v>
              </c:pt>
              <c:pt idx="125">
                <c:v>SM d34:1</c:v>
              </c:pt>
              <c:pt idx="126">
                <c:v>SM d34:2</c:v>
              </c:pt>
              <c:pt idx="127">
                <c:v>SM d35:1</c:v>
              </c:pt>
              <c:pt idx="128">
                <c:v>SM d35:2</c:v>
              </c:pt>
              <c:pt idx="129">
                <c:v>SM d36:0</c:v>
              </c:pt>
              <c:pt idx="130">
                <c:v>SM d36:1</c:v>
              </c:pt>
              <c:pt idx="131">
                <c:v>SM d36:2</c:v>
              </c:pt>
              <c:pt idx="132">
                <c:v>SM d36:3</c:v>
              </c:pt>
              <c:pt idx="133">
                <c:v>SM d37:1</c:v>
              </c:pt>
              <c:pt idx="134">
                <c:v>SM d38:1</c:v>
              </c:pt>
              <c:pt idx="135">
                <c:v>SM d38:2</c:v>
              </c:pt>
              <c:pt idx="136">
                <c:v>SM d39:1</c:v>
              </c:pt>
              <c:pt idx="137">
                <c:v>SM d39:2</c:v>
              </c:pt>
              <c:pt idx="138">
                <c:v>SM d40:1</c:v>
              </c:pt>
              <c:pt idx="139">
                <c:v>SM d40:2</c:v>
              </c:pt>
              <c:pt idx="140">
                <c:v>SM d40:3</c:v>
              </c:pt>
              <c:pt idx="141">
                <c:v>SM d41:1</c:v>
              </c:pt>
              <c:pt idx="142">
                <c:v>SM d41:2</c:v>
              </c:pt>
              <c:pt idx="143">
                <c:v>SM d41:3</c:v>
              </c:pt>
              <c:pt idx="144">
                <c:v>SM d42:1</c:v>
              </c:pt>
              <c:pt idx="145">
                <c:v>SM d42:2</c:v>
              </c:pt>
              <c:pt idx="146">
                <c:v>SM d42:3</c:v>
              </c:pt>
              <c:pt idx="147">
                <c:v>SM d43:2</c:v>
              </c:pt>
              <c:pt idx="148">
                <c:v>SM d44:2</c:v>
              </c:pt>
              <c:pt idx="149">
                <c:v>CDCA</c:v>
              </c:pt>
              <c:pt idx="150">
                <c:v>CA</c:v>
              </c:pt>
              <c:pt idx="151">
                <c:v>DCA</c:v>
              </c:pt>
              <c:pt idx="152">
                <c:v>GCDCA</c:v>
              </c:pt>
              <c:pt idx="153">
                <c:v>GDCA</c:v>
              </c:pt>
              <c:pt idx="154">
                <c:v>GLCA</c:v>
              </c:pt>
              <c:pt idx="155">
                <c:v>GUDCA</c:v>
              </c:pt>
              <c:pt idx="156">
                <c:v>UDCA</c:v>
              </c:pt>
            </c:strLit>
          </c:cat>
          <c:val>
            <c:numLit>
              <c:formatCode>General</c:formatCode>
              <c:ptCount val="15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numLit>
          </c:val>
          <c:smooth val="0"/>
          <c:extLst xmlns:c16r2="http://schemas.microsoft.com/office/drawing/2015/06/chart">
            <c:ext xmlns:c16="http://schemas.microsoft.com/office/drawing/2014/chart" uri="{C3380CC4-5D6E-409C-BE32-E72D297353CC}">
              <c16:uniqueId val="{00000001-C2CA-430D-9C8A-D21AD632DF1B}"/>
            </c:ext>
          </c:extLst>
        </c:ser>
        <c:ser>
          <c:idx val="3"/>
          <c:order val="2"/>
          <c:tx>
            <c:v>-3k</c:v>
          </c:tx>
          <c:spPr>
            <a:ln w="19050">
              <a:solidFill>
                <a:srgbClr val="FF0000"/>
              </a:solidFill>
              <a:prstDash val="sysDot"/>
            </a:ln>
          </c:spPr>
          <c:marker>
            <c:symbol val="none"/>
          </c:marker>
          <c:cat>
            <c:strLit>
              <c:ptCount val="158"/>
              <c:pt idx="1">
                <c:v>FFA 20:4</c:v>
              </c:pt>
              <c:pt idx="2">
                <c:v>FFA 20:5</c:v>
              </c:pt>
              <c:pt idx="3">
                <c:v>FFA 22:6</c:v>
              </c:pt>
              <c:pt idx="4">
                <c:v>LPC 14:0</c:v>
              </c:pt>
              <c:pt idx="5">
                <c:v>LPC 15:0</c:v>
              </c:pt>
              <c:pt idx="6">
                <c:v>LPC 16:0</c:v>
              </c:pt>
              <c:pt idx="7">
                <c:v>LPC O-16:0</c:v>
              </c:pt>
              <c:pt idx="8">
                <c:v>LPC P-16:0</c:v>
              </c:pt>
              <c:pt idx="9">
                <c:v>LPC 16:1</c:v>
              </c:pt>
              <c:pt idx="10">
                <c:v>LPC 17:0</c:v>
              </c:pt>
              <c:pt idx="11">
                <c:v>LPC 17:1</c:v>
              </c:pt>
              <c:pt idx="12">
                <c:v>LPC 18:0</c:v>
              </c:pt>
              <c:pt idx="13">
                <c:v>LPC 18:1</c:v>
              </c:pt>
              <c:pt idx="14">
                <c:v>LPC 18:2</c:v>
              </c:pt>
              <c:pt idx="15">
                <c:v>LPC 20:0</c:v>
              </c:pt>
              <c:pt idx="16">
                <c:v>LPC 20:1</c:v>
              </c:pt>
              <c:pt idx="17">
                <c:v>LPC 20:2</c:v>
              </c:pt>
              <c:pt idx="18">
                <c:v>LPC 20:3</c:v>
              </c:pt>
              <c:pt idx="19">
                <c:v>LPC 20:4</c:v>
              </c:pt>
              <c:pt idx="20">
                <c:v>LPC 20:5</c:v>
              </c:pt>
              <c:pt idx="21">
                <c:v>LPC 22:0</c:v>
              </c:pt>
              <c:pt idx="22">
                <c:v>LPC 22:4</c:v>
              </c:pt>
              <c:pt idx="23">
                <c:v>LPC 22:5</c:v>
              </c:pt>
              <c:pt idx="24">
                <c:v>LPC 22:6</c:v>
              </c:pt>
              <c:pt idx="25">
                <c:v>LPC 24:0</c:v>
              </c:pt>
              <c:pt idx="26">
                <c:v>LPE 16:0</c:v>
              </c:pt>
              <c:pt idx="27">
                <c:v>LPE 18:0</c:v>
              </c:pt>
              <c:pt idx="28">
                <c:v>LPE 18:1</c:v>
              </c:pt>
              <c:pt idx="29">
                <c:v>LPE 18:2</c:v>
              </c:pt>
              <c:pt idx="30">
                <c:v>LPE 20:4</c:v>
              </c:pt>
              <c:pt idx="31">
                <c:v>LPE 22:6</c:v>
              </c:pt>
              <c:pt idx="32">
                <c:v>PC 30:0</c:v>
              </c:pt>
              <c:pt idx="33">
                <c:v>PC O-30:1/P-30:0</c:v>
              </c:pt>
              <c:pt idx="34">
                <c:v>PC 32:0</c:v>
              </c:pt>
              <c:pt idx="35">
                <c:v>PC O-32:0/31:0</c:v>
              </c:pt>
              <c:pt idx="36">
                <c:v>PC 32:1</c:v>
              </c:pt>
              <c:pt idx="37">
                <c:v>PC O-32:1/P-32:0/31:1</c:v>
              </c:pt>
              <c:pt idx="38">
                <c:v>PC P-33:1/32:2</c:v>
              </c:pt>
              <c:pt idx="39">
                <c:v>PC 34:0</c:v>
              </c:pt>
              <c:pt idx="40">
                <c:v>PC O-34:0/33:0</c:v>
              </c:pt>
              <c:pt idx="41">
                <c:v>PC 34:1</c:v>
              </c:pt>
              <c:pt idx="42">
                <c:v>PC O-34:1/P-34:0/33:1</c:v>
              </c:pt>
              <c:pt idx="43">
                <c:v>PC O-34:2/P-34:1/33:2</c:v>
              </c:pt>
              <c:pt idx="44">
                <c:v>PC O-34:3/P-34:2/33:3</c:v>
              </c:pt>
              <c:pt idx="45">
                <c:v>PC P-35:1/34:2</c:v>
              </c:pt>
              <c:pt idx="46">
                <c:v>PC 34:5</c:v>
              </c:pt>
              <c:pt idx="47">
                <c:v>PC 36:1</c:v>
              </c:pt>
              <c:pt idx="48">
                <c:v>PC O-36:1/P-36:0/35:1</c:v>
              </c:pt>
              <c:pt idx="49">
                <c:v>PC 36:2</c:v>
              </c:pt>
              <c:pt idx="50">
                <c:v>PC O-36:2/P-36:1/35:2</c:v>
              </c:pt>
              <c:pt idx="51">
                <c:v>PC 36:3</c:v>
              </c:pt>
              <c:pt idx="52">
                <c:v>PC 36:4</c:v>
              </c:pt>
              <c:pt idx="53">
                <c:v>PC O-36:4/P-36:3/35:4</c:v>
              </c:pt>
              <c:pt idx="54">
                <c:v>PC 36:5</c:v>
              </c:pt>
              <c:pt idx="55">
                <c:v>PC O-36:5/P-36:4/35:5</c:v>
              </c:pt>
              <c:pt idx="56">
                <c:v>PC P-36:5/35:6</c:v>
              </c:pt>
              <c:pt idx="57">
                <c:v>PC 36:6</c:v>
              </c:pt>
              <c:pt idx="58">
                <c:v>PC 38:2</c:v>
              </c:pt>
              <c:pt idx="59">
                <c:v>PC O-38:2/37:2</c:v>
              </c:pt>
              <c:pt idx="60">
                <c:v>PC 38:3</c:v>
              </c:pt>
              <c:pt idx="61">
                <c:v>PC O-38:3/P-38:2/37:3</c:v>
              </c:pt>
              <c:pt idx="62">
                <c:v>PC 38:4</c:v>
              </c:pt>
              <c:pt idx="63">
                <c:v>PC O-38:4/P-38:3/37:4</c:v>
              </c:pt>
              <c:pt idx="64">
                <c:v>PC 38:5</c:v>
              </c:pt>
              <c:pt idx="65">
                <c:v>PC O-38:5/P-38:4/37:5</c:v>
              </c:pt>
              <c:pt idx="66">
                <c:v>PC 38:6</c:v>
              </c:pt>
              <c:pt idx="67">
                <c:v>PC O-38:6/P-38:5/37:6</c:v>
              </c:pt>
              <c:pt idx="68">
                <c:v>PC P-38:6/36:0</c:v>
              </c:pt>
              <c:pt idx="69">
                <c:v>PC 40:4</c:v>
              </c:pt>
              <c:pt idx="70">
                <c:v>PC O-40:4/P-40:3/39:4</c:v>
              </c:pt>
              <c:pt idx="71">
                <c:v>PC 40:5</c:v>
              </c:pt>
              <c:pt idx="72">
                <c:v>PC O-40:5/P-40:4/39:5</c:v>
              </c:pt>
              <c:pt idx="73">
                <c:v>PC 40:6</c:v>
              </c:pt>
              <c:pt idx="74">
                <c:v>PC 40:7</c:v>
              </c:pt>
              <c:pt idx="75">
                <c:v>PC O-40:7/P-40:6/39:7</c:v>
              </c:pt>
              <c:pt idx="76">
                <c:v>PC 40:8</c:v>
              </c:pt>
              <c:pt idx="77">
                <c:v>PC O-42:5/P-42:4</c:v>
              </c:pt>
              <c:pt idx="78">
                <c:v>PE 34:1</c:v>
              </c:pt>
              <c:pt idx="79">
                <c:v>PE 34:2</c:v>
              </c:pt>
              <c:pt idx="80">
                <c:v>PE O-34:2/P-34:1</c:v>
              </c:pt>
              <c:pt idx="81">
                <c:v>PE O-34:3/P-34:2</c:v>
              </c:pt>
              <c:pt idx="82">
                <c:v>PE 36:0</c:v>
              </c:pt>
              <c:pt idx="83">
                <c:v>PE 36:1</c:v>
              </c:pt>
              <c:pt idx="84">
                <c:v>PE O-36:2/P-36:1/35:2</c:v>
              </c:pt>
              <c:pt idx="85">
                <c:v>PE 36:3</c:v>
              </c:pt>
              <c:pt idx="86">
                <c:v>PE O-36:3/P-36:2/35:3</c:v>
              </c:pt>
              <c:pt idx="87">
                <c:v>PE 36:4</c:v>
              </c:pt>
              <c:pt idx="88">
                <c:v>PE O-36:4/P-36:3</c:v>
              </c:pt>
              <c:pt idx="89">
                <c:v>PE O-36:5/P-36:4</c:v>
              </c:pt>
              <c:pt idx="90">
                <c:v>PE 38:3</c:v>
              </c:pt>
              <c:pt idx="91">
                <c:v>PE 38:4</c:v>
              </c:pt>
              <c:pt idx="92">
                <c:v>PE O-38:4/P-38:3/37:4</c:v>
              </c:pt>
              <c:pt idx="93">
                <c:v>PE 38:5</c:v>
              </c:pt>
              <c:pt idx="94">
                <c:v>PE O-38:5/P-38:4</c:v>
              </c:pt>
              <c:pt idx="95">
                <c:v>PE 38:6</c:v>
              </c:pt>
              <c:pt idx="96">
                <c:v>PE O-38:6/P-38:5</c:v>
              </c:pt>
              <c:pt idx="97">
                <c:v>PE O-38:7/P-38:6</c:v>
              </c:pt>
              <c:pt idx="98">
                <c:v>PE 40:4</c:v>
              </c:pt>
              <c:pt idx="99">
                <c:v>PE 40:5</c:v>
              </c:pt>
              <c:pt idx="100">
                <c:v>PE O-40:5/P-40:4/39:5</c:v>
              </c:pt>
              <c:pt idx="101">
                <c:v>PE 40:6</c:v>
              </c:pt>
              <c:pt idx="102">
                <c:v>PE O-40:6/P-40:5/39:6</c:v>
              </c:pt>
              <c:pt idx="103">
                <c:v>PE 40:7</c:v>
              </c:pt>
              <c:pt idx="104">
                <c:v>PE O-40:7/P-40:6/39:7</c:v>
              </c:pt>
              <c:pt idx="105">
                <c:v>PI 32:1</c:v>
              </c:pt>
              <c:pt idx="106">
                <c:v>PI 34:1</c:v>
              </c:pt>
              <c:pt idx="107">
                <c:v>PI 34:2</c:v>
              </c:pt>
              <c:pt idx="108">
                <c:v>PI 36:1</c:v>
              </c:pt>
              <c:pt idx="109">
                <c:v>PI 36:2</c:v>
              </c:pt>
              <c:pt idx="110">
                <c:v>PI 36:3</c:v>
              </c:pt>
              <c:pt idx="111">
                <c:v>PI 36:4</c:v>
              </c:pt>
              <c:pt idx="112">
                <c:v>PI 38:3</c:v>
              </c:pt>
              <c:pt idx="113">
                <c:v>PI 38:4</c:v>
              </c:pt>
              <c:pt idx="114">
                <c:v>PI 38:5</c:v>
              </c:pt>
              <c:pt idx="115">
                <c:v>PI 38:6</c:v>
              </c:pt>
              <c:pt idx="116">
                <c:v>PI 40:4</c:v>
              </c:pt>
              <c:pt idx="117">
                <c:v>PI 40:6</c:v>
              </c:pt>
              <c:pt idx="118">
                <c:v>PG 36:2</c:v>
              </c:pt>
              <c:pt idx="119">
                <c:v>HexCer d42:1</c:v>
              </c:pt>
              <c:pt idx="120">
                <c:v>SM d31:1</c:v>
              </c:pt>
              <c:pt idx="121">
                <c:v>SM d32:1</c:v>
              </c:pt>
              <c:pt idx="122">
                <c:v>SM d32:2</c:v>
              </c:pt>
              <c:pt idx="123">
                <c:v>SM d33:1</c:v>
              </c:pt>
              <c:pt idx="124">
                <c:v>SM d34:0</c:v>
              </c:pt>
              <c:pt idx="125">
                <c:v>SM d34:1</c:v>
              </c:pt>
              <c:pt idx="126">
                <c:v>SM d34:2</c:v>
              </c:pt>
              <c:pt idx="127">
                <c:v>SM d35:1</c:v>
              </c:pt>
              <c:pt idx="128">
                <c:v>SM d35:2</c:v>
              </c:pt>
              <c:pt idx="129">
                <c:v>SM d36:0</c:v>
              </c:pt>
              <c:pt idx="130">
                <c:v>SM d36:1</c:v>
              </c:pt>
              <c:pt idx="131">
                <c:v>SM d36:2</c:v>
              </c:pt>
              <c:pt idx="132">
                <c:v>SM d36:3</c:v>
              </c:pt>
              <c:pt idx="133">
                <c:v>SM d37:1</c:v>
              </c:pt>
              <c:pt idx="134">
                <c:v>SM d38:1</c:v>
              </c:pt>
              <c:pt idx="135">
                <c:v>SM d38:2</c:v>
              </c:pt>
              <c:pt idx="136">
                <c:v>SM d39:1</c:v>
              </c:pt>
              <c:pt idx="137">
                <c:v>SM d39:2</c:v>
              </c:pt>
              <c:pt idx="138">
                <c:v>SM d40:1</c:v>
              </c:pt>
              <c:pt idx="139">
                <c:v>SM d40:2</c:v>
              </c:pt>
              <c:pt idx="140">
                <c:v>SM d40:3</c:v>
              </c:pt>
              <c:pt idx="141">
                <c:v>SM d41:1</c:v>
              </c:pt>
              <c:pt idx="142">
                <c:v>SM d41:2</c:v>
              </c:pt>
              <c:pt idx="143">
                <c:v>SM d41:3</c:v>
              </c:pt>
              <c:pt idx="144">
                <c:v>SM d42:1</c:v>
              </c:pt>
              <c:pt idx="145">
                <c:v>SM d42:2</c:v>
              </c:pt>
              <c:pt idx="146">
                <c:v>SM d42:3</c:v>
              </c:pt>
              <c:pt idx="147">
                <c:v>SM d43:2</c:v>
              </c:pt>
              <c:pt idx="148">
                <c:v>SM d44:2</c:v>
              </c:pt>
              <c:pt idx="149">
                <c:v>CDCA</c:v>
              </c:pt>
              <c:pt idx="150">
                <c:v>CA</c:v>
              </c:pt>
              <c:pt idx="151">
                <c:v>DCA</c:v>
              </c:pt>
              <c:pt idx="152">
                <c:v>GCDCA</c:v>
              </c:pt>
              <c:pt idx="153">
                <c:v>GDCA</c:v>
              </c:pt>
              <c:pt idx="154">
                <c:v>GLCA</c:v>
              </c:pt>
              <c:pt idx="155">
                <c:v>GUDCA</c:v>
              </c:pt>
              <c:pt idx="156">
                <c:v>UDCA</c:v>
              </c:pt>
            </c:strLit>
          </c:cat>
          <c:val>
            <c:numLit>
              <c:formatCode>General</c:formatCode>
              <c:ptCount val="15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numLit>
          </c:val>
          <c:smooth val="0"/>
          <c:extLst xmlns:c16r2="http://schemas.microsoft.com/office/drawing/2015/06/chart">
            <c:ext xmlns:c16="http://schemas.microsoft.com/office/drawing/2014/chart" uri="{C3380CC4-5D6E-409C-BE32-E72D297353CC}">
              <c16:uniqueId val="{00000002-C2CA-430D-9C8A-D21AD632DF1B}"/>
            </c:ext>
          </c:extLst>
        </c:ser>
        <c:ser>
          <c:idx val="0"/>
          <c:order val="3"/>
          <c:tx>
            <c:v>Measurements</c:v>
          </c:tx>
          <c:spPr>
            <a:ln>
              <a:noFill/>
            </a:ln>
          </c:spPr>
          <c:marker>
            <c:symbol val="circle"/>
            <c:size val="5"/>
            <c:spPr>
              <a:solidFill>
                <a:schemeClr val="tx1"/>
              </a:solidFill>
              <a:ln>
                <a:noFill/>
              </a:ln>
            </c:spPr>
          </c:marker>
          <c:errBars>
            <c:errDir val="y"/>
            <c:errBarType val="both"/>
            <c:errValType val="cust"/>
            <c:noEndCap val="0"/>
            <c:plus>
              <c:numLit>
                <c:formatCode>General</c:formatCode>
                <c:ptCount val="158"/>
                <c:pt idx="0">
                  <c:v>#N/A</c:v>
                </c:pt>
                <c:pt idx="1">
                  <c:v>1.4515822618911571E-2</c:v>
                </c:pt>
                <c:pt idx="2">
                  <c:v>6.3531037455007155E-2</c:v>
                </c:pt>
                <c:pt idx="3">
                  <c:v>5.6334621322721219E-2</c:v>
                </c:pt>
                <c:pt idx="4">
                  <c:v>2.1376842349728468E-2</c:v>
                </c:pt>
                <c:pt idx="5">
                  <c:v>0.26438749513076926</c:v>
                </c:pt>
                <c:pt idx="6">
                  <c:v>6.9814789499948668E-2</c:v>
                </c:pt>
                <c:pt idx="7">
                  <c:v>6.6099356226456685E-2</c:v>
                </c:pt>
                <c:pt idx="8">
                  <c:v>4.989189201996181E-2</c:v>
                </c:pt>
                <c:pt idx="9">
                  <c:v>0.10245046984565334</c:v>
                </c:pt>
                <c:pt idx="10">
                  <c:v>0.12102395687648521</c:v>
                </c:pt>
                <c:pt idx="11">
                  <c:v>0.1790754669985532</c:v>
                </c:pt>
                <c:pt idx="12">
                  <c:v>0.29009238076275706</c:v>
                </c:pt>
                <c:pt idx="13">
                  <c:v>9.3225741794531788E-2</c:v>
                </c:pt>
                <c:pt idx="14">
                  <c:v>9.4845155782190285E-2</c:v>
                </c:pt>
                <c:pt idx="15">
                  <c:v>8.2299531142525001E-2</c:v>
                </c:pt>
                <c:pt idx="16">
                  <c:v>1.0488500170320023</c:v>
                </c:pt>
                <c:pt idx="17">
                  <c:v>8.8471416240235828E-2</c:v>
                </c:pt>
                <c:pt idx="18">
                  <c:v>0.26335690596084044</c:v>
                </c:pt>
                <c:pt idx="19">
                  <c:v>0.25112811640192351</c:v>
                </c:pt>
                <c:pt idx="20">
                  <c:v>3.41123161914864E-2</c:v>
                </c:pt>
                <c:pt idx="21">
                  <c:v>1.1120485861575693</c:v>
                </c:pt>
                <c:pt idx="22">
                  <c:v>0.54180641051900746</c:v>
                </c:pt>
                <c:pt idx="23">
                  <c:v>0.12572748774557094</c:v>
                </c:pt>
                <c:pt idx="24">
                  <c:v>0.8911060309069414</c:v>
                </c:pt>
                <c:pt idx="25">
                  <c:v>0.13142037758046898</c:v>
                </c:pt>
                <c:pt idx="26">
                  <c:v>0.18502539492616268</c:v>
                </c:pt>
                <c:pt idx="27">
                  <c:v>0.3930937533648603</c:v>
                </c:pt>
                <c:pt idx="28">
                  <c:v>5.8343435449569783E-2</c:v>
                </c:pt>
                <c:pt idx="29">
                  <c:v>0.24241242736608376</c:v>
                </c:pt>
                <c:pt idx="30">
                  <c:v>0.30861859921399359</c:v>
                </c:pt>
                <c:pt idx="31">
                  <c:v>1.1898856818786849</c:v>
                </c:pt>
                <c:pt idx="32">
                  <c:v>5.0755245018126827</c:v>
                </c:pt>
                <c:pt idx="33">
                  <c:v>5.6345480511668491</c:v>
                </c:pt>
                <c:pt idx="34">
                  <c:v>1.3572433758740998</c:v>
                </c:pt>
                <c:pt idx="35">
                  <c:v>0.7613239071937159</c:v>
                </c:pt>
                <c:pt idx="36">
                  <c:v>0.94815466509021296</c:v>
                </c:pt>
                <c:pt idx="37">
                  <c:v>1.0775873245255896</c:v>
                </c:pt>
                <c:pt idx="38">
                  <c:v>0.46423779394130393</c:v>
                </c:pt>
                <c:pt idx="39">
                  <c:v>7.3955525444140333</c:v>
                </c:pt>
                <c:pt idx="40">
                  <c:v>0.31933956380076001</c:v>
                </c:pt>
                <c:pt idx="41">
                  <c:v>1.2051088731136232</c:v>
                </c:pt>
                <c:pt idx="42">
                  <c:v>0.90197938029862679</c:v>
                </c:pt>
                <c:pt idx="43">
                  <c:v>0.39221087662481041</c:v>
                </c:pt>
                <c:pt idx="44">
                  <c:v>0.83036911031828919</c:v>
                </c:pt>
                <c:pt idx="45">
                  <c:v>1.2414181723779706E-2</c:v>
                </c:pt>
                <c:pt idx="46">
                  <c:v>2.421855937092841</c:v>
                </c:pt>
                <c:pt idx="47">
                  <c:v>1.5798668216924106</c:v>
                </c:pt>
                <c:pt idx="48">
                  <c:v>0.11091182497465882</c:v>
                </c:pt>
                <c:pt idx="49">
                  <c:v>1.2667584669250618</c:v>
                </c:pt>
                <c:pt idx="50">
                  <c:v>0.20639821753567211</c:v>
                </c:pt>
                <c:pt idx="51">
                  <c:v>0.74604098884308534</c:v>
                </c:pt>
                <c:pt idx="52">
                  <c:v>0.51090013503353704</c:v>
                </c:pt>
                <c:pt idx="53">
                  <c:v>1.1835092530796325</c:v>
                </c:pt>
                <c:pt idx="54">
                  <c:v>0.81067581608922068</c:v>
                </c:pt>
                <c:pt idx="55">
                  <c:v>0.61908893845643564</c:v>
                </c:pt>
                <c:pt idx="56">
                  <c:v>6.7803683090210315E-2</c:v>
                </c:pt>
                <c:pt idx="57">
                  <c:v>0.52566015288378776</c:v>
                </c:pt>
                <c:pt idx="58">
                  <c:v>5.4743593658555953</c:v>
                </c:pt>
                <c:pt idx="59">
                  <c:v>0.25848015186724527</c:v>
                </c:pt>
                <c:pt idx="60">
                  <c:v>1.3883265222370507</c:v>
                </c:pt>
                <c:pt idx="61">
                  <c:v>0.36838027686918301</c:v>
                </c:pt>
                <c:pt idx="62">
                  <c:v>0.87938200211164586</c:v>
                </c:pt>
                <c:pt idx="63">
                  <c:v>0.5078966116939605</c:v>
                </c:pt>
                <c:pt idx="64">
                  <c:v>0.27851340300235761</c:v>
                </c:pt>
                <c:pt idx="65">
                  <c:v>0.84309438306061824</c:v>
                </c:pt>
                <c:pt idx="66">
                  <c:v>1.0165156020697079</c:v>
                </c:pt>
                <c:pt idx="67">
                  <c:v>0.29458804059144533</c:v>
                </c:pt>
                <c:pt idx="68">
                  <c:v>0.16745014958349322</c:v>
                </c:pt>
                <c:pt idx="69">
                  <c:v>2.3861192519990424</c:v>
                </c:pt>
                <c:pt idx="70">
                  <c:v>0.55805344710772475</c:v>
                </c:pt>
                <c:pt idx="71">
                  <c:v>0.68734395479621979</c:v>
                </c:pt>
                <c:pt idx="72">
                  <c:v>0.52508574732689928</c:v>
                </c:pt>
                <c:pt idx="73">
                  <c:v>0.84977752292122166</c:v>
                </c:pt>
                <c:pt idx="74">
                  <c:v>0.71021177606369035</c:v>
                </c:pt>
                <c:pt idx="75">
                  <c:v>0.46818221226217521</c:v>
                </c:pt>
                <c:pt idx="76">
                  <c:v>0.57378580413429414</c:v>
                </c:pt>
                <c:pt idx="77">
                  <c:v>2.1807575639638106</c:v>
                </c:pt>
                <c:pt idx="78">
                  <c:v>4.0084285147459549E-2</c:v>
                </c:pt>
                <c:pt idx="79">
                  <c:v>0.15285424914259838</c:v>
                </c:pt>
                <c:pt idx="80">
                  <c:v>8.9167880912019326E-2</c:v>
                </c:pt>
                <c:pt idx="81">
                  <c:v>7.3569151025306562E-2</c:v>
                </c:pt>
                <c:pt idx="82">
                  <c:v>0.99520569030009587</c:v>
                </c:pt>
                <c:pt idx="83">
                  <c:v>0.32455081993201257</c:v>
                </c:pt>
                <c:pt idx="84">
                  <c:v>2.0454055403977316E-2</c:v>
                </c:pt>
                <c:pt idx="85">
                  <c:v>0.17379152795434949</c:v>
                </c:pt>
                <c:pt idx="86">
                  <c:v>4.3983369423579541E-2</c:v>
                </c:pt>
                <c:pt idx="87">
                  <c:v>9.1115077567407568E-2</c:v>
                </c:pt>
                <c:pt idx="88">
                  <c:v>9.4187374384814226E-2</c:v>
                </c:pt>
                <c:pt idx="89">
                  <c:v>3.1162837137031805E-2</c:v>
                </c:pt>
                <c:pt idx="90">
                  <c:v>3.3658454543384106E-2</c:v>
                </c:pt>
                <c:pt idx="91">
                  <c:v>0.15434521942737203</c:v>
                </c:pt>
                <c:pt idx="92">
                  <c:v>0.15204118541359346</c:v>
                </c:pt>
                <c:pt idx="93">
                  <c:v>3.7725756876263644E-2</c:v>
                </c:pt>
                <c:pt idx="94">
                  <c:v>9.7173137887583444E-2</c:v>
                </c:pt>
                <c:pt idx="95">
                  <c:v>3.1792620655798361E-2</c:v>
                </c:pt>
                <c:pt idx="96">
                  <c:v>0.14835531806398666</c:v>
                </c:pt>
                <c:pt idx="97">
                  <c:v>1.3197299682409503E-2</c:v>
                </c:pt>
                <c:pt idx="98">
                  <c:v>0.28266275993572798</c:v>
                </c:pt>
                <c:pt idx="99">
                  <c:v>3.5669068123402856E-2</c:v>
                </c:pt>
                <c:pt idx="100">
                  <c:v>1.7452482509440643</c:v>
                </c:pt>
                <c:pt idx="101">
                  <c:v>6.2076701783974175E-2</c:v>
                </c:pt>
                <c:pt idx="102">
                  <c:v>0.59949003633475562</c:v>
                </c:pt>
                <c:pt idx="103">
                  <c:v>3.2581743632161264E-2</c:v>
                </c:pt>
                <c:pt idx="104">
                  <c:v>4.8318256161936315E-2</c:v>
                </c:pt>
                <c:pt idx="105">
                  <c:v>0.26822351501241687</c:v>
                </c:pt>
                <c:pt idx="106">
                  <c:v>0.82448068486280213</c:v>
                </c:pt>
                <c:pt idx="107">
                  <c:v>0.57066648234949113</c:v>
                </c:pt>
                <c:pt idx="108">
                  <c:v>0.11929367333542189</c:v>
                </c:pt>
                <c:pt idx="109">
                  <c:v>0.57194122933829195</c:v>
                </c:pt>
                <c:pt idx="110">
                  <c:v>0.23374638406109668</c:v>
                </c:pt>
                <c:pt idx="111">
                  <c:v>0.30737737774333329</c:v>
                </c:pt>
                <c:pt idx="112">
                  <c:v>0.43815575296629955</c:v>
                </c:pt>
                <c:pt idx="113">
                  <c:v>0.51915772804977822</c:v>
                </c:pt>
                <c:pt idx="114">
                  <c:v>0.10196387090494632</c:v>
                </c:pt>
                <c:pt idx="115">
                  <c:v>3.4098843321532257</c:v>
                </c:pt>
                <c:pt idx="116">
                  <c:v>3.3037873927195589</c:v>
                </c:pt>
                <c:pt idx="117">
                  <c:v>2.8689104305442102E-2</c:v>
                </c:pt>
                <c:pt idx="118">
                  <c:v>0.36199557342046884</c:v>
                </c:pt>
                <c:pt idx="119">
                  <c:v>4.4907534698886125E-3</c:v>
                </c:pt>
                <c:pt idx="120">
                  <c:v>6.6060870321062559E-2</c:v>
                </c:pt>
                <c:pt idx="121">
                  <c:v>0.25985862033673063</c:v>
                </c:pt>
                <c:pt idx="122">
                  <c:v>8.3880588978955853E-2</c:v>
                </c:pt>
                <c:pt idx="123">
                  <c:v>0.30029304391557343</c:v>
                </c:pt>
                <c:pt idx="124">
                  <c:v>0.16988252746083563</c:v>
                </c:pt>
                <c:pt idx="125">
                  <c:v>0.24730948723099119</c:v>
                </c:pt>
                <c:pt idx="126">
                  <c:v>0.35875647111794484</c:v>
                </c:pt>
                <c:pt idx="127">
                  <c:v>0.16600159867721215</c:v>
                </c:pt>
                <c:pt idx="128">
                  <c:v>9.2430812110325111E-2</c:v>
                </c:pt>
                <c:pt idx="129">
                  <c:v>5.5792537363676016E-2</c:v>
                </c:pt>
                <c:pt idx="130">
                  <c:v>0.24453304847190432</c:v>
                </c:pt>
                <c:pt idx="131">
                  <c:v>0.22652884404174631</c:v>
                </c:pt>
                <c:pt idx="132">
                  <c:v>0.16971352310587004</c:v>
                </c:pt>
                <c:pt idx="133">
                  <c:v>0.32820103621258945</c:v>
                </c:pt>
                <c:pt idx="134">
                  <c:v>0.28223014216964587</c:v>
                </c:pt>
                <c:pt idx="135">
                  <c:v>0.22365579099502653</c:v>
                </c:pt>
                <c:pt idx="136">
                  <c:v>0.33893607755428296</c:v>
                </c:pt>
                <c:pt idx="137">
                  <c:v>0.17331444071464935</c:v>
                </c:pt>
                <c:pt idx="138">
                  <c:v>0.31130569742534625</c:v>
                </c:pt>
                <c:pt idx="139">
                  <c:v>0.54105013960585269</c:v>
                </c:pt>
                <c:pt idx="140">
                  <c:v>0.11720982637344189</c:v>
                </c:pt>
                <c:pt idx="141">
                  <c:v>0.45549940861185073</c:v>
                </c:pt>
                <c:pt idx="142">
                  <c:v>0.3907351850851335</c:v>
                </c:pt>
                <c:pt idx="143">
                  <c:v>8.5956102046597288E-2</c:v>
                </c:pt>
                <c:pt idx="144">
                  <c:v>0.23781782009887967</c:v>
                </c:pt>
                <c:pt idx="145">
                  <c:v>0.22734311054609921</c:v>
                </c:pt>
                <c:pt idx="146">
                  <c:v>0.42336708688071961</c:v>
                </c:pt>
                <c:pt idx="147">
                  <c:v>0.71548249693630439</c:v>
                </c:pt>
                <c:pt idx="148">
                  <c:v>0.28277961079721448</c:v>
                </c:pt>
                <c:pt idx="149">
                  <c:v>5.5719608795586587E-2</c:v>
                </c:pt>
                <c:pt idx="150">
                  <c:v>0.16537301247205149</c:v>
                </c:pt>
                <c:pt idx="151">
                  <c:v>7.3845264668849692E-2</c:v>
                </c:pt>
                <c:pt idx="152">
                  <c:v>7.23485315521636E-2</c:v>
                </c:pt>
                <c:pt idx="153">
                  <c:v>0.18873529970129632</c:v>
                </c:pt>
                <c:pt idx="154">
                  <c:v>1.3867218677072541</c:v>
                </c:pt>
                <c:pt idx="155">
                  <c:v>0.54261398664122695</c:v>
                </c:pt>
                <c:pt idx="156">
                  <c:v>0.25538154031310517</c:v>
                </c:pt>
                <c:pt idx="157">
                  <c:v>#N/A</c:v>
                </c:pt>
              </c:numLit>
            </c:plus>
            <c:minus>
              <c:numLit>
                <c:formatCode>General</c:formatCode>
                <c:ptCount val="158"/>
                <c:pt idx="0">
                  <c:v>#N/A</c:v>
                </c:pt>
                <c:pt idx="1">
                  <c:v>1.4515822618911571E-2</c:v>
                </c:pt>
                <c:pt idx="2">
                  <c:v>6.3531037455007155E-2</c:v>
                </c:pt>
                <c:pt idx="3">
                  <c:v>5.6334621322721219E-2</c:v>
                </c:pt>
                <c:pt idx="4">
                  <c:v>2.1376842349728468E-2</c:v>
                </c:pt>
                <c:pt idx="5">
                  <c:v>0.26438749513076926</c:v>
                </c:pt>
                <c:pt idx="6">
                  <c:v>6.9814789499948668E-2</c:v>
                </c:pt>
                <c:pt idx="7">
                  <c:v>6.6099356226456685E-2</c:v>
                </c:pt>
                <c:pt idx="8">
                  <c:v>4.989189201996181E-2</c:v>
                </c:pt>
                <c:pt idx="9">
                  <c:v>0.10245046984565334</c:v>
                </c:pt>
                <c:pt idx="10">
                  <c:v>0.12102395687648521</c:v>
                </c:pt>
                <c:pt idx="11">
                  <c:v>0.1790754669985532</c:v>
                </c:pt>
                <c:pt idx="12">
                  <c:v>0.29009238076275706</c:v>
                </c:pt>
                <c:pt idx="13">
                  <c:v>9.3225741794531788E-2</c:v>
                </c:pt>
                <c:pt idx="14">
                  <c:v>9.4845155782190285E-2</c:v>
                </c:pt>
                <c:pt idx="15">
                  <c:v>8.2299531142525001E-2</c:v>
                </c:pt>
                <c:pt idx="16">
                  <c:v>1.0488500170320023</c:v>
                </c:pt>
                <c:pt idx="17">
                  <c:v>8.8471416240235828E-2</c:v>
                </c:pt>
                <c:pt idx="18">
                  <c:v>0.26335690596084044</c:v>
                </c:pt>
                <c:pt idx="19">
                  <c:v>0.25112811640192351</c:v>
                </c:pt>
                <c:pt idx="20">
                  <c:v>3.41123161914864E-2</c:v>
                </c:pt>
                <c:pt idx="21">
                  <c:v>1.1120485861575693</c:v>
                </c:pt>
                <c:pt idx="22">
                  <c:v>0.54180641051900746</c:v>
                </c:pt>
                <c:pt idx="23">
                  <c:v>0.12572748774557094</c:v>
                </c:pt>
                <c:pt idx="24">
                  <c:v>0.8911060309069414</c:v>
                </c:pt>
                <c:pt idx="25">
                  <c:v>0.13142037758046898</c:v>
                </c:pt>
                <c:pt idx="26">
                  <c:v>0.18502539492616268</c:v>
                </c:pt>
                <c:pt idx="27">
                  <c:v>0.3930937533648603</c:v>
                </c:pt>
                <c:pt idx="28">
                  <c:v>5.8343435449569783E-2</c:v>
                </c:pt>
                <c:pt idx="29">
                  <c:v>0.24241242736608376</c:v>
                </c:pt>
                <c:pt idx="30">
                  <c:v>0.30861859921399359</c:v>
                </c:pt>
                <c:pt idx="31">
                  <c:v>1.1898856818786849</c:v>
                </c:pt>
                <c:pt idx="32">
                  <c:v>5.0755245018126827</c:v>
                </c:pt>
                <c:pt idx="33">
                  <c:v>5.6345480511668491</c:v>
                </c:pt>
                <c:pt idx="34">
                  <c:v>1.3572433758740998</c:v>
                </c:pt>
                <c:pt idx="35">
                  <c:v>0.7613239071937159</c:v>
                </c:pt>
                <c:pt idx="36">
                  <c:v>0.94815466509021296</c:v>
                </c:pt>
                <c:pt idx="37">
                  <c:v>1.0775873245255896</c:v>
                </c:pt>
                <c:pt idx="38">
                  <c:v>0.46423779394130393</c:v>
                </c:pt>
                <c:pt idx="39">
                  <c:v>7.3955525444140333</c:v>
                </c:pt>
                <c:pt idx="40">
                  <c:v>0.31933956380076001</c:v>
                </c:pt>
                <c:pt idx="41">
                  <c:v>1.2051088731136232</c:v>
                </c:pt>
                <c:pt idx="42">
                  <c:v>0.90197938029862679</c:v>
                </c:pt>
                <c:pt idx="43">
                  <c:v>0.39221087662481041</c:v>
                </c:pt>
                <c:pt idx="44">
                  <c:v>0.83036911031828919</c:v>
                </c:pt>
                <c:pt idx="45">
                  <c:v>1.2414181723779706E-2</c:v>
                </c:pt>
                <c:pt idx="46">
                  <c:v>2.421855937092841</c:v>
                </c:pt>
                <c:pt idx="47">
                  <c:v>1.5798668216924106</c:v>
                </c:pt>
                <c:pt idx="48">
                  <c:v>0.11091182497465882</c:v>
                </c:pt>
                <c:pt idx="49">
                  <c:v>1.2667584669250618</c:v>
                </c:pt>
                <c:pt idx="50">
                  <c:v>0.20639821753567211</c:v>
                </c:pt>
                <c:pt idx="51">
                  <c:v>0.74604098884308534</c:v>
                </c:pt>
                <c:pt idx="52">
                  <c:v>0.51090013503353704</c:v>
                </c:pt>
                <c:pt idx="53">
                  <c:v>1.1835092530796325</c:v>
                </c:pt>
                <c:pt idx="54">
                  <c:v>0.81067581608922068</c:v>
                </c:pt>
                <c:pt idx="55">
                  <c:v>0.61908893845643564</c:v>
                </c:pt>
                <c:pt idx="56">
                  <c:v>6.7803683090210315E-2</c:v>
                </c:pt>
                <c:pt idx="57">
                  <c:v>0.52566015288378776</c:v>
                </c:pt>
                <c:pt idx="58">
                  <c:v>5.4743593658555953</c:v>
                </c:pt>
                <c:pt idx="59">
                  <c:v>0.25848015186724527</c:v>
                </c:pt>
                <c:pt idx="60">
                  <c:v>1.3883265222370507</c:v>
                </c:pt>
                <c:pt idx="61">
                  <c:v>0.36838027686918301</c:v>
                </c:pt>
                <c:pt idx="62">
                  <c:v>0.87938200211164586</c:v>
                </c:pt>
                <c:pt idx="63">
                  <c:v>0.5078966116939605</c:v>
                </c:pt>
                <c:pt idx="64">
                  <c:v>0.27851340300235761</c:v>
                </c:pt>
                <c:pt idx="65">
                  <c:v>0.84309438306061824</c:v>
                </c:pt>
                <c:pt idx="66">
                  <c:v>1.0165156020697079</c:v>
                </c:pt>
                <c:pt idx="67">
                  <c:v>0.29458804059144533</c:v>
                </c:pt>
                <c:pt idx="68">
                  <c:v>0.16745014958349322</c:v>
                </c:pt>
                <c:pt idx="69">
                  <c:v>2.3861192519990424</c:v>
                </c:pt>
                <c:pt idx="70">
                  <c:v>0.55805344710772475</c:v>
                </c:pt>
                <c:pt idx="71">
                  <c:v>0.68734395479621979</c:v>
                </c:pt>
                <c:pt idx="72">
                  <c:v>0.52508574732689928</c:v>
                </c:pt>
                <c:pt idx="73">
                  <c:v>0.84977752292122166</c:v>
                </c:pt>
                <c:pt idx="74">
                  <c:v>0.71021177606369035</c:v>
                </c:pt>
                <c:pt idx="75">
                  <c:v>0.46818221226217521</c:v>
                </c:pt>
                <c:pt idx="76">
                  <c:v>0.57378580413429414</c:v>
                </c:pt>
                <c:pt idx="77">
                  <c:v>2.1807575639638106</c:v>
                </c:pt>
                <c:pt idx="78">
                  <c:v>4.0084285147459549E-2</c:v>
                </c:pt>
                <c:pt idx="79">
                  <c:v>0.15285424914259838</c:v>
                </c:pt>
                <c:pt idx="80">
                  <c:v>8.9167880912019326E-2</c:v>
                </c:pt>
                <c:pt idx="81">
                  <c:v>7.3569151025306562E-2</c:v>
                </c:pt>
                <c:pt idx="82">
                  <c:v>0.99520569030009587</c:v>
                </c:pt>
                <c:pt idx="83">
                  <c:v>0.32455081993201257</c:v>
                </c:pt>
                <c:pt idx="84">
                  <c:v>2.0454055403977316E-2</c:v>
                </c:pt>
                <c:pt idx="85">
                  <c:v>0.17379152795434949</c:v>
                </c:pt>
                <c:pt idx="86">
                  <c:v>4.3983369423579541E-2</c:v>
                </c:pt>
                <c:pt idx="87">
                  <c:v>9.1115077567407568E-2</c:v>
                </c:pt>
                <c:pt idx="88">
                  <c:v>9.4187374384814226E-2</c:v>
                </c:pt>
                <c:pt idx="89">
                  <c:v>3.1162837137031805E-2</c:v>
                </c:pt>
                <c:pt idx="90">
                  <c:v>3.3658454543384106E-2</c:v>
                </c:pt>
                <c:pt idx="91">
                  <c:v>0.15434521942737203</c:v>
                </c:pt>
                <c:pt idx="92">
                  <c:v>0.15204118541359346</c:v>
                </c:pt>
                <c:pt idx="93">
                  <c:v>3.7725756876263644E-2</c:v>
                </c:pt>
                <c:pt idx="94">
                  <c:v>9.7173137887583444E-2</c:v>
                </c:pt>
                <c:pt idx="95">
                  <c:v>3.1792620655798361E-2</c:v>
                </c:pt>
                <c:pt idx="96">
                  <c:v>0.14835531806398666</c:v>
                </c:pt>
                <c:pt idx="97">
                  <c:v>1.3197299682409503E-2</c:v>
                </c:pt>
                <c:pt idx="98">
                  <c:v>0.28266275993572798</c:v>
                </c:pt>
                <c:pt idx="99">
                  <c:v>3.5669068123402856E-2</c:v>
                </c:pt>
                <c:pt idx="100">
                  <c:v>1.7452482509440643</c:v>
                </c:pt>
                <c:pt idx="101">
                  <c:v>6.2076701783974175E-2</c:v>
                </c:pt>
                <c:pt idx="102">
                  <c:v>0.59949003633475562</c:v>
                </c:pt>
                <c:pt idx="103">
                  <c:v>3.2581743632161264E-2</c:v>
                </c:pt>
                <c:pt idx="104">
                  <c:v>4.8318256161936315E-2</c:v>
                </c:pt>
                <c:pt idx="105">
                  <c:v>0.26822351501241687</c:v>
                </c:pt>
                <c:pt idx="106">
                  <c:v>0.82448068486280213</c:v>
                </c:pt>
                <c:pt idx="107">
                  <c:v>0.57066648234949113</c:v>
                </c:pt>
                <c:pt idx="108">
                  <c:v>0.11929367333542189</c:v>
                </c:pt>
                <c:pt idx="109">
                  <c:v>0.57194122933829195</c:v>
                </c:pt>
                <c:pt idx="110">
                  <c:v>0.23374638406109668</c:v>
                </c:pt>
                <c:pt idx="111">
                  <c:v>0.30737737774333329</c:v>
                </c:pt>
                <c:pt idx="112">
                  <c:v>0.43815575296629955</c:v>
                </c:pt>
                <c:pt idx="113">
                  <c:v>0.51915772804977822</c:v>
                </c:pt>
                <c:pt idx="114">
                  <c:v>0.10196387090494632</c:v>
                </c:pt>
                <c:pt idx="115">
                  <c:v>3.4098843321532257</c:v>
                </c:pt>
                <c:pt idx="116">
                  <c:v>3.3037873927195589</c:v>
                </c:pt>
                <c:pt idx="117">
                  <c:v>2.8689104305442102E-2</c:v>
                </c:pt>
                <c:pt idx="118">
                  <c:v>0.36199557342046884</c:v>
                </c:pt>
                <c:pt idx="119">
                  <c:v>4.4907534698886125E-3</c:v>
                </c:pt>
                <c:pt idx="120">
                  <c:v>6.6060870321062559E-2</c:v>
                </c:pt>
                <c:pt idx="121">
                  <c:v>0.25985862033673063</c:v>
                </c:pt>
                <c:pt idx="122">
                  <c:v>8.3880588978955853E-2</c:v>
                </c:pt>
                <c:pt idx="123">
                  <c:v>0.30029304391557343</c:v>
                </c:pt>
                <c:pt idx="124">
                  <c:v>0.16988252746083563</c:v>
                </c:pt>
                <c:pt idx="125">
                  <c:v>0.24730948723099119</c:v>
                </c:pt>
                <c:pt idx="126">
                  <c:v>0.35875647111794484</c:v>
                </c:pt>
                <c:pt idx="127">
                  <c:v>0.16600159867721215</c:v>
                </c:pt>
                <c:pt idx="128">
                  <c:v>9.2430812110325111E-2</c:v>
                </c:pt>
                <c:pt idx="129">
                  <c:v>5.5792537363676016E-2</c:v>
                </c:pt>
                <c:pt idx="130">
                  <c:v>0.24453304847190432</c:v>
                </c:pt>
                <c:pt idx="131">
                  <c:v>0.22652884404174631</c:v>
                </c:pt>
                <c:pt idx="132">
                  <c:v>0.16971352310587004</c:v>
                </c:pt>
                <c:pt idx="133">
                  <c:v>0.32820103621258945</c:v>
                </c:pt>
                <c:pt idx="134">
                  <c:v>0.28223014216964587</c:v>
                </c:pt>
                <c:pt idx="135">
                  <c:v>0.22365579099502653</c:v>
                </c:pt>
                <c:pt idx="136">
                  <c:v>0.33893607755428296</c:v>
                </c:pt>
                <c:pt idx="137">
                  <c:v>0.17331444071464935</c:v>
                </c:pt>
                <c:pt idx="138">
                  <c:v>0.31130569742534625</c:v>
                </c:pt>
                <c:pt idx="139">
                  <c:v>0.54105013960585269</c:v>
                </c:pt>
                <c:pt idx="140">
                  <c:v>0.11720982637344189</c:v>
                </c:pt>
                <c:pt idx="141">
                  <c:v>0.45549940861185073</c:v>
                </c:pt>
                <c:pt idx="142">
                  <c:v>0.3907351850851335</c:v>
                </c:pt>
                <c:pt idx="143">
                  <c:v>8.5956102046597288E-2</c:v>
                </c:pt>
                <c:pt idx="144">
                  <c:v>0.23781782009887967</c:v>
                </c:pt>
                <c:pt idx="145">
                  <c:v>0.22734311054609921</c:v>
                </c:pt>
                <c:pt idx="146">
                  <c:v>0.42336708688071961</c:v>
                </c:pt>
                <c:pt idx="147">
                  <c:v>0.71548249693630439</c:v>
                </c:pt>
                <c:pt idx="148">
                  <c:v>0.28277961079721448</c:v>
                </c:pt>
                <c:pt idx="149">
                  <c:v>5.5719608795586587E-2</c:v>
                </c:pt>
                <c:pt idx="150">
                  <c:v>0.16537301247205149</c:v>
                </c:pt>
                <c:pt idx="151">
                  <c:v>7.3845264668849692E-2</c:v>
                </c:pt>
                <c:pt idx="152">
                  <c:v>7.23485315521636E-2</c:v>
                </c:pt>
                <c:pt idx="153">
                  <c:v>0.18873529970129632</c:v>
                </c:pt>
                <c:pt idx="154">
                  <c:v>1.3867218677072541</c:v>
                </c:pt>
                <c:pt idx="155">
                  <c:v>0.54261398664122695</c:v>
                </c:pt>
                <c:pt idx="156">
                  <c:v>0.25538154031310517</c:v>
                </c:pt>
                <c:pt idx="157">
                  <c:v>#N/A</c:v>
                </c:pt>
              </c:numLit>
            </c:minus>
          </c:errBars>
          <c:cat>
            <c:strLit>
              <c:ptCount val="158"/>
              <c:pt idx="1">
                <c:v>FFA 20:4</c:v>
              </c:pt>
              <c:pt idx="2">
                <c:v>FFA 20:5</c:v>
              </c:pt>
              <c:pt idx="3">
                <c:v>FFA 22:6</c:v>
              </c:pt>
              <c:pt idx="4">
                <c:v>LPC 14:0</c:v>
              </c:pt>
              <c:pt idx="5">
                <c:v>LPC 15:0</c:v>
              </c:pt>
              <c:pt idx="6">
                <c:v>LPC 16:0</c:v>
              </c:pt>
              <c:pt idx="7">
                <c:v>LPC O-16:0</c:v>
              </c:pt>
              <c:pt idx="8">
                <c:v>LPC P-16:0</c:v>
              </c:pt>
              <c:pt idx="9">
                <c:v>LPC 16:1</c:v>
              </c:pt>
              <c:pt idx="10">
                <c:v>LPC 17:0</c:v>
              </c:pt>
              <c:pt idx="11">
                <c:v>LPC 17:1</c:v>
              </c:pt>
              <c:pt idx="12">
                <c:v>LPC 18:0</c:v>
              </c:pt>
              <c:pt idx="13">
                <c:v>LPC 18:1</c:v>
              </c:pt>
              <c:pt idx="14">
                <c:v>LPC 18:2</c:v>
              </c:pt>
              <c:pt idx="15">
                <c:v>LPC 20:0</c:v>
              </c:pt>
              <c:pt idx="16">
                <c:v>LPC 20:1</c:v>
              </c:pt>
              <c:pt idx="17">
                <c:v>LPC 20:2</c:v>
              </c:pt>
              <c:pt idx="18">
                <c:v>LPC 20:3</c:v>
              </c:pt>
              <c:pt idx="19">
                <c:v>LPC 20:4</c:v>
              </c:pt>
              <c:pt idx="20">
                <c:v>LPC 20:5</c:v>
              </c:pt>
              <c:pt idx="21">
                <c:v>LPC 22:0</c:v>
              </c:pt>
              <c:pt idx="22">
                <c:v>LPC 22:4</c:v>
              </c:pt>
              <c:pt idx="23">
                <c:v>LPC 22:5</c:v>
              </c:pt>
              <c:pt idx="24">
                <c:v>LPC 22:6</c:v>
              </c:pt>
              <c:pt idx="25">
                <c:v>LPC 24:0</c:v>
              </c:pt>
              <c:pt idx="26">
                <c:v>LPE 16:0</c:v>
              </c:pt>
              <c:pt idx="27">
                <c:v>LPE 18:0</c:v>
              </c:pt>
              <c:pt idx="28">
                <c:v>LPE 18:1</c:v>
              </c:pt>
              <c:pt idx="29">
                <c:v>LPE 18:2</c:v>
              </c:pt>
              <c:pt idx="30">
                <c:v>LPE 20:4</c:v>
              </c:pt>
              <c:pt idx="31">
                <c:v>LPE 22:6</c:v>
              </c:pt>
              <c:pt idx="32">
                <c:v>PC 30:0</c:v>
              </c:pt>
              <c:pt idx="33">
                <c:v>PC O-30:1/P-30:0</c:v>
              </c:pt>
              <c:pt idx="34">
                <c:v>PC 32:0</c:v>
              </c:pt>
              <c:pt idx="35">
                <c:v>PC O-32:0/31:0</c:v>
              </c:pt>
              <c:pt idx="36">
                <c:v>PC 32:1</c:v>
              </c:pt>
              <c:pt idx="37">
                <c:v>PC O-32:1/P-32:0/31:1</c:v>
              </c:pt>
              <c:pt idx="38">
                <c:v>PC P-33:1/32:2</c:v>
              </c:pt>
              <c:pt idx="39">
                <c:v>PC 34:0</c:v>
              </c:pt>
              <c:pt idx="40">
                <c:v>PC O-34:0/33:0</c:v>
              </c:pt>
              <c:pt idx="41">
                <c:v>PC 34:1</c:v>
              </c:pt>
              <c:pt idx="42">
                <c:v>PC O-34:1/P-34:0/33:1</c:v>
              </c:pt>
              <c:pt idx="43">
                <c:v>PC O-34:2/P-34:1/33:2</c:v>
              </c:pt>
              <c:pt idx="44">
                <c:v>PC O-34:3/P-34:2/33:3</c:v>
              </c:pt>
              <c:pt idx="45">
                <c:v>PC P-35:1/34:2</c:v>
              </c:pt>
              <c:pt idx="46">
                <c:v>PC 34:5</c:v>
              </c:pt>
              <c:pt idx="47">
                <c:v>PC 36:1</c:v>
              </c:pt>
              <c:pt idx="48">
                <c:v>PC O-36:1/P-36:0/35:1</c:v>
              </c:pt>
              <c:pt idx="49">
                <c:v>PC 36:2</c:v>
              </c:pt>
              <c:pt idx="50">
                <c:v>PC O-36:2/P-36:1/35:2</c:v>
              </c:pt>
              <c:pt idx="51">
                <c:v>PC 36:3</c:v>
              </c:pt>
              <c:pt idx="52">
                <c:v>PC 36:4</c:v>
              </c:pt>
              <c:pt idx="53">
                <c:v>PC O-36:4/P-36:3/35:4</c:v>
              </c:pt>
              <c:pt idx="54">
                <c:v>PC 36:5</c:v>
              </c:pt>
              <c:pt idx="55">
                <c:v>PC O-36:5/P-36:4/35:5</c:v>
              </c:pt>
              <c:pt idx="56">
                <c:v>PC P-36:5/35:6</c:v>
              </c:pt>
              <c:pt idx="57">
                <c:v>PC 36:6</c:v>
              </c:pt>
              <c:pt idx="58">
                <c:v>PC 38:2</c:v>
              </c:pt>
              <c:pt idx="59">
                <c:v>PC O-38:2/37:2</c:v>
              </c:pt>
              <c:pt idx="60">
                <c:v>PC 38:3</c:v>
              </c:pt>
              <c:pt idx="61">
                <c:v>PC O-38:3/P-38:2/37:3</c:v>
              </c:pt>
              <c:pt idx="62">
                <c:v>PC 38:4</c:v>
              </c:pt>
              <c:pt idx="63">
                <c:v>PC O-38:4/P-38:3/37:4</c:v>
              </c:pt>
              <c:pt idx="64">
                <c:v>PC 38:5</c:v>
              </c:pt>
              <c:pt idx="65">
                <c:v>PC O-38:5/P-38:4/37:5</c:v>
              </c:pt>
              <c:pt idx="66">
                <c:v>PC 38:6</c:v>
              </c:pt>
              <c:pt idx="67">
                <c:v>PC O-38:6/P-38:5/37:6</c:v>
              </c:pt>
              <c:pt idx="68">
                <c:v>PC P-38:6/36:0</c:v>
              </c:pt>
              <c:pt idx="69">
                <c:v>PC 40:4</c:v>
              </c:pt>
              <c:pt idx="70">
                <c:v>PC O-40:4/P-40:3/39:4</c:v>
              </c:pt>
              <c:pt idx="71">
                <c:v>PC 40:5</c:v>
              </c:pt>
              <c:pt idx="72">
                <c:v>PC O-40:5/P-40:4/39:5</c:v>
              </c:pt>
              <c:pt idx="73">
                <c:v>PC 40:6</c:v>
              </c:pt>
              <c:pt idx="74">
                <c:v>PC 40:7</c:v>
              </c:pt>
              <c:pt idx="75">
                <c:v>PC O-40:7/P-40:6/39:7</c:v>
              </c:pt>
              <c:pt idx="76">
                <c:v>PC 40:8</c:v>
              </c:pt>
              <c:pt idx="77">
                <c:v>PC O-42:5/P-42:4</c:v>
              </c:pt>
              <c:pt idx="78">
                <c:v>PE 34:1</c:v>
              </c:pt>
              <c:pt idx="79">
                <c:v>PE 34:2</c:v>
              </c:pt>
              <c:pt idx="80">
                <c:v>PE O-34:2/P-34:1</c:v>
              </c:pt>
              <c:pt idx="81">
                <c:v>PE O-34:3/P-34:2</c:v>
              </c:pt>
              <c:pt idx="82">
                <c:v>PE 36:0</c:v>
              </c:pt>
              <c:pt idx="83">
                <c:v>PE 36:1</c:v>
              </c:pt>
              <c:pt idx="84">
                <c:v>PE O-36:2/P-36:1/35:2</c:v>
              </c:pt>
              <c:pt idx="85">
                <c:v>PE 36:3</c:v>
              </c:pt>
              <c:pt idx="86">
                <c:v>PE O-36:3/P-36:2/35:3</c:v>
              </c:pt>
              <c:pt idx="87">
                <c:v>PE 36:4</c:v>
              </c:pt>
              <c:pt idx="88">
                <c:v>PE O-36:4/P-36:3</c:v>
              </c:pt>
              <c:pt idx="89">
                <c:v>PE O-36:5/P-36:4</c:v>
              </c:pt>
              <c:pt idx="90">
                <c:v>PE 38:3</c:v>
              </c:pt>
              <c:pt idx="91">
                <c:v>PE 38:4</c:v>
              </c:pt>
              <c:pt idx="92">
                <c:v>PE O-38:4/P-38:3/37:4</c:v>
              </c:pt>
              <c:pt idx="93">
                <c:v>PE 38:5</c:v>
              </c:pt>
              <c:pt idx="94">
                <c:v>PE O-38:5/P-38:4</c:v>
              </c:pt>
              <c:pt idx="95">
                <c:v>PE 38:6</c:v>
              </c:pt>
              <c:pt idx="96">
                <c:v>PE O-38:6/P-38:5</c:v>
              </c:pt>
              <c:pt idx="97">
                <c:v>PE O-38:7/P-38:6</c:v>
              </c:pt>
              <c:pt idx="98">
                <c:v>PE 40:4</c:v>
              </c:pt>
              <c:pt idx="99">
                <c:v>PE 40:5</c:v>
              </c:pt>
              <c:pt idx="100">
                <c:v>PE O-40:5/P-40:4/39:5</c:v>
              </c:pt>
              <c:pt idx="101">
                <c:v>PE 40:6</c:v>
              </c:pt>
              <c:pt idx="102">
                <c:v>PE O-40:6/P-40:5/39:6</c:v>
              </c:pt>
              <c:pt idx="103">
                <c:v>PE 40:7</c:v>
              </c:pt>
              <c:pt idx="104">
                <c:v>PE O-40:7/P-40:6/39:7</c:v>
              </c:pt>
              <c:pt idx="105">
                <c:v>PI 32:1</c:v>
              </c:pt>
              <c:pt idx="106">
                <c:v>PI 34:1</c:v>
              </c:pt>
              <c:pt idx="107">
                <c:v>PI 34:2</c:v>
              </c:pt>
              <c:pt idx="108">
                <c:v>PI 36:1</c:v>
              </c:pt>
              <c:pt idx="109">
                <c:v>PI 36:2</c:v>
              </c:pt>
              <c:pt idx="110">
                <c:v>PI 36:3</c:v>
              </c:pt>
              <c:pt idx="111">
                <c:v>PI 36:4</c:v>
              </c:pt>
              <c:pt idx="112">
                <c:v>PI 38:3</c:v>
              </c:pt>
              <c:pt idx="113">
                <c:v>PI 38:4</c:v>
              </c:pt>
              <c:pt idx="114">
                <c:v>PI 38:5</c:v>
              </c:pt>
              <c:pt idx="115">
                <c:v>PI 38:6</c:v>
              </c:pt>
              <c:pt idx="116">
                <c:v>PI 40:4</c:v>
              </c:pt>
              <c:pt idx="117">
                <c:v>PI 40:6</c:v>
              </c:pt>
              <c:pt idx="118">
                <c:v>PG 36:2</c:v>
              </c:pt>
              <c:pt idx="119">
                <c:v>HexCer d42:1</c:v>
              </c:pt>
              <c:pt idx="120">
                <c:v>SM d31:1</c:v>
              </c:pt>
              <c:pt idx="121">
                <c:v>SM d32:1</c:v>
              </c:pt>
              <c:pt idx="122">
                <c:v>SM d32:2</c:v>
              </c:pt>
              <c:pt idx="123">
                <c:v>SM d33:1</c:v>
              </c:pt>
              <c:pt idx="124">
                <c:v>SM d34:0</c:v>
              </c:pt>
              <c:pt idx="125">
                <c:v>SM d34:1</c:v>
              </c:pt>
              <c:pt idx="126">
                <c:v>SM d34:2</c:v>
              </c:pt>
              <c:pt idx="127">
                <c:v>SM d35:1</c:v>
              </c:pt>
              <c:pt idx="128">
                <c:v>SM d35:2</c:v>
              </c:pt>
              <c:pt idx="129">
                <c:v>SM d36:0</c:v>
              </c:pt>
              <c:pt idx="130">
                <c:v>SM d36:1</c:v>
              </c:pt>
              <c:pt idx="131">
                <c:v>SM d36:2</c:v>
              </c:pt>
              <c:pt idx="132">
                <c:v>SM d36:3</c:v>
              </c:pt>
              <c:pt idx="133">
                <c:v>SM d37:1</c:v>
              </c:pt>
              <c:pt idx="134">
                <c:v>SM d38:1</c:v>
              </c:pt>
              <c:pt idx="135">
                <c:v>SM d38:2</c:v>
              </c:pt>
              <c:pt idx="136">
                <c:v>SM d39:1</c:v>
              </c:pt>
              <c:pt idx="137">
                <c:v>SM d39:2</c:v>
              </c:pt>
              <c:pt idx="138">
                <c:v>SM d40:1</c:v>
              </c:pt>
              <c:pt idx="139">
                <c:v>SM d40:2</c:v>
              </c:pt>
              <c:pt idx="140">
                <c:v>SM d40:3</c:v>
              </c:pt>
              <c:pt idx="141">
                <c:v>SM d41:1</c:v>
              </c:pt>
              <c:pt idx="142">
                <c:v>SM d41:2</c:v>
              </c:pt>
              <c:pt idx="143">
                <c:v>SM d41:3</c:v>
              </c:pt>
              <c:pt idx="144">
                <c:v>SM d42:1</c:v>
              </c:pt>
              <c:pt idx="145">
                <c:v>SM d42:2</c:v>
              </c:pt>
              <c:pt idx="146">
                <c:v>SM d42:3</c:v>
              </c:pt>
              <c:pt idx="147">
                <c:v>SM d43:2</c:v>
              </c:pt>
              <c:pt idx="148">
                <c:v>SM d44:2</c:v>
              </c:pt>
              <c:pt idx="149">
                <c:v>CDCA</c:v>
              </c:pt>
              <c:pt idx="150">
                <c:v>CA</c:v>
              </c:pt>
              <c:pt idx="151">
                <c:v>DCA</c:v>
              </c:pt>
              <c:pt idx="152">
                <c:v>GCDCA</c:v>
              </c:pt>
              <c:pt idx="153">
                <c:v>GDCA</c:v>
              </c:pt>
              <c:pt idx="154">
                <c:v>GLCA</c:v>
              </c:pt>
              <c:pt idx="155">
                <c:v>GUDCA</c:v>
              </c:pt>
              <c:pt idx="156">
                <c:v>UDCA</c:v>
              </c:pt>
            </c:strLit>
          </c:cat>
          <c:val>
            <c:numLit>
              <c:formatCode>General</c:formatCode>
              <c:ptCount val="158"/>
              <c:pt idx="0">
                <c:v>#N/A</c:v>
              </c:pt>
              <c:pt idx="1">
                <c:v>-3.0039653769596177</c:v>
              </c:pt>
              <c:pt idx="2">
                <c:v>-7.2848473061632673</c:v>
              </c:pt>
              <c:pt idx="3">
                <c:v>-7.3278668913687524</c:v>
              </c:pt>
              <c:pt idx="4">
                <c:v>-3.3866909725022429</c:v>
              </c:pt>
              <c:pt idx="5">
                <c:v>-2.6772235459389369</c:v>
              </c:pt>
              <c:pt idx="6">
                <c:v>-2.195065613147182</c:v>
              </c:pt>
              <c:pt idx="7">
                <c:v>-1.6222107975594879</c:v>
              </c:pt>
              <c:pt idx="8">
                <c:v>-2.5335224083963639</c:v>
              </c:pt>
              <c:pt idx="9">
                <c:v>-3.1108048483311999</c:v>
              </c:pt>
              <c:pt idx="10">
                <c:v>-3.8095944423597383</c:v>
              </c:pt>
              <c:pt idx="11">
                <c:v>-2.3978362603023133</c:v>
              </c:pt>
              <c:pt idx="12">
                <c:v>-2.2181792675682925</c:v>
              </c:pt>
              <c:pt idx="13">
                <c:v>-3.9632005343111318</c:v>
              </c:pt>
              <c:pt idx="14">
                <c:v>-2.0615043307943797</c:v>
              </c:pt>
              <c:pt idx="15">
                <c:v>-1.0282151370171237</c:v>
              </c:pt>
              <c:pt idx="16">
                <c:v>-2.9335993529041819</c:v>
              </c:pt>
              <c:pt idx="17">
                <c:v>-2.2627127811563117</c:v>
              </c:pt>
              <c:pt idx="18">
                <c:v>-3.0242890580630251</c:v>
              </c:pt>
              <c:pt idx="19">
                <c:v>-2.1917430803732061</c:v>
              </c:pt>
              <c:pt idx="20">
                <c:v>-1.5260353312960002</c:v>
              </c:pt>
              <c:pt idx="21">
                <c:v>-2.5983466843386651</c:v>
              </c:pt>
              <c:pt idx="22">
                <c:v>-0.136772427758382</c:v>
              </c:pt>
              <c:pt idx="23">
                <c:v>-0.39192791720945624</c:v>
              </c:pt>
              <c:pt idx="24">
                <c:v>0.48698212978132066</c:v>
              </c:pt>
              <c:pt idx="25">
                <c:v>0.21817464017844468</c:v>
              </c:pt>
              <c:pt idx="26">
                <c:v>-1.2523692726384159</c:v>
              </c:pt>
              <c:pt idx="27">
                <c:v>5.703564394634018</c:v>
              </c:pt>
              <c:pt idx="28">
                <c:v>-1.5967215272322646</c:v>
              </c:pt>
              <c:pt idx="29">
                <c:v>-0.64636715928924415</c:v>
              </c:pt>
              <c:pt idx="30">
                <c:v>1.4072498235379023</c:v>
              </c:pt>
              <c:pt idx="31">
                <c:v>7.0566970487334268</c:v>
              </c:pt>
              <c:pt idx="32">
                <c:v>12.941282992867281</c:v>
              </c:pt>
              <c:pt idx="33">
                <c:v>14.886284297428647</c:v>
              </c:pt>
              <c:pt idx="34">
                <c:v>0.2656702825501025</c:v>
              </c:pt>
              <c:pt idx="35">
                <c:v>0.37295084141175555</c:v>
              </c:pt>
              <c:pt idx="36">
                <c:v>-2.1147949779594586</c:v>
              </c:pt>
              <c:pt idx="37">
                <c:v>-2.8066528456907811</c:v>
              </c:pt>
              <c:pt idx="38">
                <c:v>-5.140023805481901</c:v>
              </c:pt>
              <c:pt idx="39">
                <c:v>31.79990511844802</c:v>
              </c:pt>
              <c:pt idx="40">
                <c:v>-2.1261201558303275</c:v>
              </c:pt>
              <c:pt idx="41">
                <c:v>0.11657481584992843</c:v>
              </c:pt>
              <c:pt idx="42">
                <c:v>-1.1488245879627716</c:v>
              </c:pt>
              <c:pt idx="43">
                <c:v>-2.0467765202689767</c:v>
              </c:pt>
              <c:pt idx="44">
                <c:v>-1.0534484030136666</c:v>
              </c:pt>
              <c:pt idx="45">
                <c:v>-5.0369803532811153</c:v>
              </c:pt>
              <c:pt idx="46">
                <c:v>2.9499569045735323</c:v>
              </c:pt>
              <c:pt idx="47">
                <c:v>2.3898665710515088</c:v>
              </c:pt>
              <c:pt idx="48">
                <c:v>-2.9520756106207786</c:v>
              </c:pt>
              <c:pt idx="49">
                <c:v>0.6008638580407728</c:v>
              </c:pt>
              <c:pt idx="50">
                <c:v>-3.5860351100230612</c:v>
              </c:pt>
              <c:pt idx="51">
                <c:v>-3.3756801012193791</c:v>
              </c:pt>
              <c:pt idx="52">
                <c:v>-2.6730501369003021</c:v>
              </c:pt>
              <c:pt idx="53">
                <c:v>-2.2765279065479214</c:v>
              </c:pt>
              <c:pt idx="54">
                <c:v>-1.5522322029609104</c:v>
              </c:pt>
              <c:pt idx="55">
                <c:v>-1.2206550515752228</c:v>
              </c:pt>
              <c:pt idx="56">
                <c:v>-2.3140371649002516</c:v>
              </c:pt>
              <c:pt idx="57">
                <c:v>-1.0590330264150418</c:v>
              </c:pt>
              <c:pt idx="58">
                <c:v>11.840152547735068</c:v>
              </c:pt>
              <c:pt idx="59">
                <c:v>0.13231855998371775</c:v>
              </c:pt>
              <c:pt idx="60">
                <c:v>1.8061193063693974</c:v>
              </c:pt>
              <c:pt idx="61">
                <c:v>-1.4702171847881456</c:v>
              </c:pt>
              <c:pt idx="62">
                <c:v>-1.0979411985723482</c:v>
              </c:pt>
              <c:pt idx="63">
                <c:v>-1.0851163727625921</c:v>
              </c:pt>
              <c:pt idx="64">
                <c:v>-3.8674988414141813</c:v>
              </c:pt>
              <c:pt idx="65">
                <c:v>-2.1101481871057119</c:v>
              </c:pt>
              <c:pt idx="66">
                <c:v>-4.0163613746749309</c:v>
              </c:pt>
              <c:pt idx="67">
                <c:v>-1.7053223224456102</c:v>
              </c:pt>
              <c:pt idx="68">
                <c:v>-2.3577318541072758</c:v>
              </c:pt>
              <c:pt idx="69">
                <c:v>3.0641726333016757</c:v>
              </c:pt>
              <c:pt idx="70">
                <c:v>-0.20155598547108139</c:v>
              </c:pt>
              <c:pt idx="71">
                <c:v>-2.5862535230875694</c:v>
              </c:pt>
              <c:pt idx="72">
                <c:v>-0.99607829528517011</c:v>
              </c:pt>
              <c:pt idx="73">
                <c:v>-1.1502824539353451</c:v>
              </c:pt>
              <c:pt idx="74">
                <c:v>-8.2033709952824623</c:v>
              </c:pt>
              <c:pt idx="75">
                <c:v>-2.531659756005725</c:v>
              </c:pt>
              <c:pt idx="76">
                <c:v>-0.61895434168944441</c:v>
              </c:pt>
              <c:pt idx="77">
                <c:v>6.1053769298470826</c:v>
              </c:pt>
              <c:pt idx="78">
                <c:v>-4.846864949218225</c:v>
              </c:pt>
              <c:pt idx="79">
                <c:v>-5.4688039251513016</c:v>
              </c:pt>
              <c:pt idx="80">
                <c:v>-2.4964148932105257</c:v>
              </c:pt>
              <c:pt idx="81">
                <c:v>-2.4708816976867407</c:v>
              </c:pt>
              <c:pt idx="82">
                <c:v>5.9279102837779361</c:v>
              </c:pt>
              <c:pt idx="83">
                <c:v>2.338214553080308</c:v>
              </c:pt>
              <c:pt idx="84">
                <c:v>-2.4768057079971033</c:v>
              </c:pt>
              <c:pt idx="85">
                <c:v>-5.2997025379453424</c:v>
              </c:pt>
              <c:pt idx="86">
                <c:v>-2.2068576524275092</c:v>
              </c:pt>
              <c:pt idx="87">
                <c:v>-6.1754766002127646</c:v>
              </c:pt>
              <c:pt idx="88">
                <c:v>-4.0337650022700835</c:v>
              </c:pt>
              <c:pt idx="89">
                <c:v>-1.4277328598499563</c:v>
              </c:pt>
              <c:pt idx="90">
                <c:v>-0.76590037323733984</c:v>
              </c:pt>
              <c:pt idx="91">
                <c:v>-4.1218068022796306</c:v>
              </c:pt>
              <c:pt idx="92">
                <c:v>-2.3381435920559093</c:v>
              </c:pt>
              <c:pt idx="93">
                <c:v>-4.9312291507157378</c:v>
              </c:pt>
              <c:pt idx="94">
                <c:v>-0.20044567728728377</c:v>
              </c:pt>
              <c:pt idx="95">
                <c:v>-4.2731357428046017</c:v>
              </c:pt>
              <c:pt idx="96">
                <c:v>-2.0787493442707419</c:v>
              </c:pt>
              <c:pt idx="97">
                <c:v>-2.7554438531368013</c:v>
              </c:pt>
              <c:pt idx="98">
                <c:v>6.5357828371970603</c:v>
              </c:pt>
              <c:pt idx="99">
                <c:v>-2.4094684975650913</c:v>
              </c:pt>
              <c:pt idx="100">
                <c:v>13.133507974812231</c:v>
              </c:pt>
              <c:pt idx="101">
                <c:v>-3.5931568739821649</c:v>
              </c:pt>
              <c:pt idx="102">
                <c:v>5.2891312188997084</c:v>
              </c:pt>
              <c:pt idx="103">
                <c:v>-2.1565484920413232</c:v>
              </c:pt>
              <c:pt idx="104">
                <c:v>-1.9710571488296853</c:v>
              </c:pt>
              <c:pt idx="105">
                <c:v>-0.94665978003748885</c:v>
              </c:pt>
              <c:pt idx="106">
                <c:v>-3.2009209407105965</c:v>
              </c:pt>
              <c:pt idx="107">
                <c:v>-0.17593258662363181</c:v>
              </c:pt>
              <c:pt idx="108">
                <c:v>-0.5954911264802939</c:v>
              </c:pt>
              <c:pt idx="109">
                <c:v>-1.4648634685929176</c:v>
              </c:pt>
              <c:pt idx="110">
                <c:v>-3.91561963719592</c:v>
              </c:pt>
              <c:pt idx="111">
                <c:v>-0.69565648443734684</c:v>
              </c:pt>
              <c:pt idx="112">
                <c:v>-0.90606535151769141</c:v>
              </c:pt>
              <c:pt idx="113">
                <c:v>-1.4427491408433637</c:v>
              </c:pt>
              <c:pt idx="114">
                <c:v>-3.572958035689624</c:v>
              </c:pt>
              <c:pt idx="115">
                <c:v>14.734415910440967</c:v>
              </c:pt>
              <c:pt idx="116">
                <c:v>23.273084206970235</c:v>
              </c:pt>
              <c:pt idx="117">
                <c:v>-2.8408248144148267</c:v>
              </c:pt>
              <c:pt idx="118">
                <c:v>-1.0852671681833501</c:v>
              </c:pt>
              <c:pt idx="119">
                <c:v>-3.6823995013402211</c:v>
              </c:pt>
              <c:pt idx="120">
                <c:v>-3.0071843102400666</c:v>
              </c:pt>
              <c:pt idx="121">
                <c:v>-3.4114521979578214</c:v>
              </c:pt>
              <c:pt idx="122">
                <c:v>-1.755158685589596</c:v>
              </c:pt>
              <c:pt idx="123">
                <c:v>-3.7670672907158544</c:v>
              </c:pt>
              <c:pt idx="124">
                <c:v>-1.3464200844252998</c:v>
              </c:pt>
              <c:pt idx="125">
                <c:v>-3.7610494007715376</c:v>
              </c:pt>
              <c:pt idx="126">
                <c:v>-3.8124796263367773</c:v>
              </c:pt>
              <c:pt idx="127">
                <c:v>-2.8440237661373629</c:v>
              </c:pt>
              <c:pt idx="128">
                <c:v>-1.4297190045194115</c:v>
              </c:pt>
              <c:pt idx="129">
                <c:v>-2.1273311800511383</c:v>
              </c:pt>
              <c:pt idx="130">
                <c:v>-2.9778054661213882</c:v>
              </c:pt>
              <c:pt idx="131">
                <c:v>-3.4131247184872731</c:v>
              </c:pt>
              <c:pt idx="132">
                <c:v>1.087855682611528</c:v>
              </c:pt>
              <c:pt idx="133">
                <c:v>-2.5082361025117432</c:v>
              </c:pt>
              <c:pt idx="134">
                <c:v>-0.60445638631487053</c:v>
              </c:pt>
              <c:pt idx="135">
                <c:v>-2.0611439063356589</c:v>
              </c:pt>
              <c:pt idx="136">
                <c:v>-0.52019007573449372</c:v>
              </c:pt>
              <c:pt idx="137">
                <c:v>-1.35646265239124</c:v>
              </c:pt>
              <c:pt idx="138">
                <c:v>-0.31965994181618945</c:v>
              </c:pt>
              <c:pt idx="139">
                <c:v>0.93506501448188084</c:v>
              </c:pt>
              <c:pt idx="140">
                <c:v>-1.2057629397046583</c:v>
              </c:pt>
              <c:pt idx="141">
                <c:v>-0.95928235645811477</c:v>
              </c:pt>
              <c:pt idx="142">
                <c:v>-0.45120924201669055</c:v>
              </c:pt>
              <c:pt idx="143">
                <c:v>-1.1284976971145468</c:v>
              </c:pt>
              <c:pt idx="144">
                <c:v>-2.214558141517466</c:v>
              </c:pt>
              <c:pt idx="145">
                <c:v>-0.93528511675584847</c:v>
              </c:pt>
              <c:pt idx="146">
                <c:v>1.4818013326743757</c:v>
              </c:pt>
              <c:pt idx="147">
                <c:v>0.24186177195747643</c:v>
              </c:pt>
              <c:pt idx="148">
                <c:v>-1.7029409637773618</c:v>
              </c:pt>
              <c:pt idx="149">
                <c:v>-0.63511283283988174</c:v>
              </c:pt>
              <c:pt idx="150">
                <c:v>-2.3504687713038419</c:v>
              </c:pt>
              <c:pt idx="151">
                <c:v>-1.4441254411130959</c:v>
              </c:pt>
              <c:pt idx="152">
                <c:v>-3.7828208336699545</c:v>
              </c:pt>
              <c:pt idx="153">
                <c:v>-0.15808333421147377</c:v>
              </c:pt>
              <c:pt idx="154">
                <c:v>-9.2556080620251411</c:v>
              </c:pt>
              <c:pt idx="155">
                <c:v>11.212177080808678</c:v>
              </c:pt>
              <c:pt idx="156">
                <c:v>5.0057328494838753</c:v>
              </c:pt>
              <c:pt idx="157">
                <c:v>#N/A</c:v>
              </c:pt>
            </c:numLit>
          </c:val>
          <c:smooth val="0"/>
          <c:extLst xmlns:c16r2="http://schemas.microsoft.com/office/drawing/2015/06/chart">
            <c:ext xmlns:c16="http://schemas.microsoft.com/office/drawing/2014/chart" uri="{C3380CC4-5D6E-409C-BE32-E72D297353CC}">
              <c16:uniqueId val="{00000003-C2CA-430D-9C8A-D21AD632DF1B}"/>
            </c:ext>
          </c:extLst>
        </c:ser>
        <c:dLbls>
          <c:showLegendKey val="0"/>
          <c:showVal val="0"/>
          <c:showCatName val="0"/>
          <c:showSerName val="0"/>
          <c:showPercent val="0"/>
          <c:showBubbleSize val="0"/>
        </c:dLbls>
        <c:smooth val="0"/>
        <c:axId val="1307802064"/>
        <c:axId val="1307796624"/>
      </c:lineChart>
      <c:catAx>
        <c:axId val="1307802064"/>
        <c:scaling>
          <c:orientation val="minMax"/>
        </c:scaling>
        <c:delete val="0"/>
        <c:axPos val="b"/>
        <c:title>
          <c:tx>
            <c:rich>
              <a:bodyPr/>
              <a:lstStyle/>
              <a:p>
                <a:pPr>
                  <a:defRPr/>
                </a:pPr>
                <a:r>
                  <a:rPr lang="en-US" sz="1200"/>
                  <a:t>Analyte</a:t>
                </a:r>
                <a:endParaRPr lang="en-US"/>
              </a:p>
            </c:rich>
          </c:tx>
          <c:layout>
            <c:manualLayout>
              <c:xMode val="edge"/>
              <c:yMode val="edge"/>
              <c:x val="0.50472172818330485"/>
              <c:y val="0.95491023383366536"/>
            </c:manualLayout>
          </c:layout>
          <c:overlay val="0"/>
        </c:title>
        <c:numFmt formatCode="General" sourceLinked="1"/>
        <c:majorTickMark val="out"/>
        <c:minorTickMark val="none"/>
        <c:tickLblPos val="nextTo"/>
        <c:txPr>
          <a:bodyPr rot="-5400000" vert="horz"/>
          <a:lstStyle/>
          <a:p>
            <a:pPr>
              <a:defRPr/>
            </a:pPr>
            <a:endParaRPr lang="en-US"/>
          </a:p>
        </c:txPr>
        <c:crossAx val="1307796624"/>
        <c:crossesAt val="-50"/>
        <c:auto val="1"/>
        <c:lblAlgn val="ctr"/>
        <c:lblOffset val="100"/>
        <c:noMultiLvlLbl val="0"/>
      </c:catAx>
      <c:valAx>
        <c:axId val="1307796624"/>
        <c:scaling>
          <c:orientation val="minMax"/>
          <c:max val="10"/>
        </c:scaling>
        <c:delete val="0"/>
        <c:axPos val="l"/>
        <c:title>
          <c:tx>
            <c:rich>
              <a:bodyPr rot="-5400000" vert="horz"/>
              <a:lstStyle/>
              <a:p>
                <a:pPr>
                  <a:defRPr/>
                </a:pPr>
                <a:r>
                  <a:rPr lang="en-US" sz="1200"/>
                  <a:t>Coverage Equivalent (k-eq)</a:t>
                </a:r>
              </a:p>
            </c:rich>
          </c:tx>
          <c:layout>
            <c:manualLayout>
              <c:xMode val="edge"/>
              <c:yMode val="edge"/>
              <c:x val="2.2082046374037501E-3"/>
              <c:y val="0.21074256342957132"/>
            </c:manualLayout>
          </c:layout>
          <c:overlay val="0"/>
        </c:title>
        <c:numFmt formatCode="General" sourceLinked="1"/>
        <c:majorTickMark val="out"/>
        <c:minorTickMark val="none"/>
        <c:tickLblPos val="nextTo"/>
        <c:crossAx val="1307802064"/>
        <c:crosses val="autoZero"/>
        <c:crossBetween val="midCat"/>
      </c:valAx>
      <c:spPr>
        <a:ln>
          <a:noFill/>
        </a:ln>
      </c:spPr>
    </c:plotArea>
    <c:plotVisOnly val="1"/>
    <c:dispBlanksAs val="gap"/>
    <c:showDLblsOverMax val="0"/>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8</xdr:col>
      <xdr:colOff>619125</xdr:colOff>
      <xdr:row>82</xdr:row>
      <xdr:rowOff>73882</xdr:rowOff>
    </xdr:from>
    <xdr:to>
      <xdr:col>10</xdr:col>
      <xdr:colOff>57151</xdr:colOff>
      <xdr:row>84</xdr:row>
      <xdr:rowOff>144015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4276725" y="16704532"/>
          <a:ext cx="1343026" cy="451133"/>
        </a:xfrm>
        <a:prstGeom prst="rect">
          <a:avLst/>
        </a:prstGeom>
      </xdr:spPr>
    </xdr:pic>
    <xdr:clientData/>
  </xdr:twoCellAnchor>
  <xdr:twoCellAnchor>
    <xdr:from>
      <xdr:col>0</xdr:col>
      <xdr:colOff>238124</xdr:colOff>
      <xdr:row>1</xdr:row>
      <xdr:rowOff>66675</xdr:rowOff>
    </xdr:from>
    <xdr:to>
      <xdr:col>10</xdr:col>
      <xdr:colOff>276225</xdr:colOff>
      <xdr:row>35</xdr:row>
      <xdr:rowOff>76200</xdr:rowOff>
    </xdr:to>
    <xdr:sp macro="" textlink="">
      <xdr:nvSpPr>
        <xdr:cNvPr id="5" name="Rectangle 4">
          <a:extLst>
            <a:ext uri="{FF2B5EF4-FFF2-40B4-BE49-F238E27FC236}">
              <a16:creationId xmlns:a16="http://schemas.microsoft.com/office/drawing/2014/main" xmlns="" id="{00000000-0008-0000-0000-000005000000}"/>
            </a:ext>
          </a:extLst>
        </xdr:cNvPr>
        <xdr:cNvSpPr/>
      </xdr:nvSpPr>
      <xdr:spPr>
        <a:xfrm>
          <a:off x="238124" y="257175"/>
          <a:ext cx="5486401" cy="7048500"/>
        </a:xfrm>
        <a:prstGeom prst="rect">
          <a:avLst/>
        </a:prstGeom>
        <a:noFill/>
        <a:ln w="381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9525</xdr:colOff>
      <xdr:row>82</xdr:row>
      <xdr:rowOff>66676</xdr:rowOff>
    </xdr:from>
    <xdr:to>
      <xdr:col>5</xdr:col>
      <xdr:colOff>447675</xdr:colOff>
      <xdr:row>84</xdr:row>
      <xdr:rowOff>130324</xdr:rowOff>
    </xdr:to>
    <xdr:pic>
      <xdr:nvPicPr>
        <xdr:cNvPr id="6" name="Picture 5" descr="https://ctsi-secim.sites.medinfo.ufl.edu/files/2014/08/SECIM_pf_awards4.png">
          <a:extLst>
            <a:ext uri="{FF2B5EF4-FFF2-40B4-BE49-F238E27FC236}">
              <a16:creationId xmlns:a16="http://schemas.microsoft.com/office/drawing/2014/main" xmlns="" id="{00000000-0008-0000-0000-00000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6667"/>
        <a:stretch/>
      </xdr:blipFill>
      <xdr:spPr bwMode="auto">
        <a:xfrm>
          <a:off x="485775" y="16697326"/>
          <a:ext cx="1762125" cy="444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9525</xdr:colOff>
          <xdr:row>25</xdr:row>
          <xdr:rowOff>28575</xdr:rowOff>
        </xdr:from>
        <xdr:to>
          <xdr:col>9</xdr:col>
          <xdr:colOff>895350</xdr:colOff>
          <xdr:row>25</xdr:row>
          <xdr:rowOff>266700</xdr:rowOff>
        </xdr:to>
        <xdr:sp macro="" textlink="">
          <xdr:nvSpPr>
            <xdr:cNvPr id="17409" name="SRM_select" hidden="1">
              <a:extLst>
                <a:ext uri="{63B3BB69-23CF-44E3-9099-C40C66FF867C}">
                  <a14:compatExt spid="_x0000_s17409"/>
                </a:ext>
                <a:ext uri="{FF2B5EF4-FFF2-40B4-BE49-F238E27FC236}">
                  <a16:creationId xmlns:a16="http://schemas.microsoft.com/office/drawing/2014/main" xmlns="" id="{00000000-0008-0000-00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19050</xdr:colOff>
      <xdr:row>27</xdr:row>
      <xdr:rowOff>28574</xdr:rowOff>
    </xdr:from>
    <xdr:to>
      <xdr:col>9</xdr:col>
      <xdr:colOff>876300</xdr:colOff>
      <xdr:row>32</xdr:row>
      <xdr:rowOff>0</xdr:rowOff>
    </xdr:to>
    <xdr:sp macro="ThisWorkbook.StartStep3_Click" textlink="">
      <xdr:nvSpPr>
        <xdr:cNvPr id="8" name="StartStep3">
          <a:extLst>
            <a:ext uri="{FF2B5EF4-FFF2-40B4-BE49-F238E27FC236}">
              <a16:creationId xmlns:a16="http://schemas.microsoft.com/office/drawing/2014/main" xmlns="" id="{00000000-0008-0000-0000-000008000000}"/>
            </a:ext>
          </a:extLst>
        </xdr:cNvPr>
        <xdr:cNvSpPr/>
      </xdr:nvSpPr>
      <xdr:spPr>
        <a:xfrm>
          <a:off x="1095375" y="5734049"/>
          <a:ext cx="4191000" cy="933451"/>
        </a:xfrm>
        <a:prstGeom prst="rect">
          <a:avLst/>
        </a:prstGeom>
        <a:solidFill>
          <a:srgbClr val="9BBB59"/>
        </a:solidFill>
        <a:ln>
          <a:solidFill>
            <a:srgbClr val="385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Measurements entered.  Click to review or change.</a:t>
          </a:r>
        </a:p>
      </xdr:txBody>
    </xdr:sp>
    <xdr:clientData/>
  </xdr:twoCellAnchor>
  <xdr:twoCellAnchor>
    <xdr:from>
      <xdr:col>4</xdr:col>
      <xdr:colOff>19050</xdr:colOff>
      <xdr:row>33</xdr:row>
      <xdr:rowOff>19050</xdr:rowOff>
    </xdr:from>
    <xdr:to>
      <xdr:col>9</xdr:col>
      <xdr:colOff>876300</xdr:colOff>
      <xdr:row>34</xdr:row>
      <xdr:rowOff>180975</xdr:rowOff>
    </xdr:to>
    <xdr:sp macro="ThisWorkbook.ViewResults" textlink="">
      <xdr:nvSpPr>
        <xdr:cNvPr id="11" name="StartStep5">
          <a:extLst>
            <a:ext uri="{FF2B5EF4-FFF2-40B4-BE49-F238E27FC236}">
              <a16:creationId xmlns:a16="http://schemas.microsoft.com/office/drawing/2014/main" xmlns="" id="{00000000-0008-0000-0000-00000B000000}"/>
            </a:ext>
          </a:extLst>
        </xdr:cNvPr>
        <xdr:cNvSpPr/>
      </xdr:nvSpPr>
      <xdr:spPr>
        <a:xfrm>
          <a:off x="1095375" y="7067550"/>
          <a:ext cx="4191000" cy="352425"/>
        </a:xfrm>
        <a:prstGeom prst="rect">
          <a:avLst/>
        </a:prstGeom>
        <a:solidFill>
          <a:srgbClr val="9BBB59"/>
        </a:solidFill>
        <a:ln>
          <a:solidFill>
            <a:srgbClr val="385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400" b="1"/>
            <a:t>Click to view results.</a:t>
          </a:r>
        </a:p>
      </xdr:txBody>
    </xdr:sp>
    <xdr:clientData/>
  </xdr:twoCellAnchor>
  <xdr:twoCellAnchor>
    <xdr:from>
      <xdr:col>2</xdr:col>
      <xdr:colOff>0</xdr:colOff>
      <xdr:row>2</xdr:row>
      <xdr:rowOff>0</xdr:rowOff>
    </xdr:from>
    <xdr:to>
      <xdr:col>5</xdr:col>
      <xdr:colOff>409575</xdr:colOff>
      <xdr:row>2</xdr:row>
      <xdr:rowOff>533400</xdr:rowOff>
    </xdr:to>
    <xdr:sp macro="" textlink="">
      <xdr:nvSpPr>
        <xdr:cNvPr id="9" name="Arc 8">
          <a:extLst>
            <a:ext uri="{FF2B5EF4-FFF2-40B4-BE49-F238E27FC236}">
              <a16:creationId xmlns:a16="http://schemas.microsoft.com/office/drawing/2014/main" xmlns="" id="{00000000-0008-0000-0000-000009000000}"/>
            </a:ext>
          </a:extLst>
        </xdr:cNvPr>
        <xdr:cNvSpPr/>
      </xdr:nvSpPr>
      <xdr:spPr>
        <a:xfrm rot="10800000" flipH="1" flipV="1">
          <a:off x="476250" y="381000"/>
          <a:ext cx="1733550" cy="533400"/>
        </a:xfrm>
        <a:prstGeom prst="arc">
          <a:avLst>
            <a:gd name="adj1" fmla="val 2373947"/>
            <a:gd name="adj2" fmla="val 21159529"/>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914400</xdr:colOff>
      <xdr:row>13</xdr:row>
      <xdr:rowOff>133350</xdr:rowOff>
    </xdr:from>
    <xdr:to>
      <xdr:col>36</xdr:col>
      <xdr:colOff>523875</xdr:colOff>
      <xdr:row>39</xdr:row>
      <xdr:rowOff>12700</xdr:rowOff>
    </xdr:to>
    <xdr:graphicFrame macro="">
      <xdr:nvGraphicFramePr>
        <xdr:cNvPr id="3" name="Chart 1">
          <a:extLst>
            <a:ext uri="{FF2B5EF4-FFF2-40B4-BE49-F238E27FC236}">
              <a16:creationId xmlns:a16="http://schemas.microsoft.com/office/drawing/2014/main" xmlns=""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john.bowden@nist.gov" TargetMode="External"/><Relationship Id="rId7" Type="http://schemas.openxmlformats.org/officeDocument/2006/relationships/printerSettings" Target="../printerSettings/printerSettings1.bin"/><Relationship Id="rId2" Type="http://schemas.openxmlformats.org/officeDocument/2006/relationships/hyperlink" Target="mailto:jeremykoelmel@gmail.com" TargetMode="External"/><Relationship Id="rId1" Type="http://schemas.openxmlformats.org/officeDocument/2006/relationships/hyperlink" Target="mailto:candice.ulmer@nist.gov" TargetMode="External"/><Relationship Id="rId6" Type="http://schemas.openxmlformats.org/officeDocument/2006/relationships/hyperlink" Target="mailto:christina.jones@noaa.gov" TargetMode="External"/><Relationship Id="rId11" Type="http://schemas.openxmlformats.org/officeDocument/2006/relationships/image" Target="../media/image1.emf"/><Relationship Id="rId5" Type="http://schemas.openxmlformats.org/officeDocument/2006/relationships/hyperlink" Target="mailto:jared.ragland@nist.gov" TargetMode="External"/><Relationship Id="rId10" Type="http://schemas.openxmlformats.org/officeDocument/2006/relationships/control" Target="../activeX/activeX1.xml"/><Relationship Id="rId4" Type="http://schemas.openxmlformats.org/officeDocument/2006/relationships/hyperlink" Target="https://www.nist.gov/disclaimer"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3:R82"/>
  <sheetViews>
    <sheetView showGridLines="0" showRowColHeaders="0" zoomScaleNormal="100" workbookViewId="0">
      <selection activeCell="D29" sqref="D29"/>
    </sheetView>
  </sheetViews>
  <sheetFormatPr defaultColWidth="9.140625" defaultRowHeight="15" x14ac:dyDescent="0.25"/>
  <cols>
    <col min="1" max="1" width="4.28515625" style="9" customWidth="1"/>
    <col min="2" max="2" width="2.85546875" style="9" customWidth="1"/>
    <col min="3" max="3" width="2.5703125" style="9" customWidth="1"/>
    <col min="4" max="4" width="6.42578125" style="14" customWidth="1"/>
    <col min="5" max="5" width="10.85546875" style="14" customWidth="1"/>
    <col min="6" max="6" width="9.5703125" style="14" customWidth="1"/>
    <col min="7" max="8" width="9.140625" style="14"/>
    <col min="9" max="9" width="11.28515625" style="14" customWidth="1"/>
    <col min="10" max="10" width="17.28515625" style="14" customWidth="1"/>
    <col min="11" max="11" width="9.140625" style="9"/>
    <col min="12" max="12" width="22.7109375" style="9" customWidth="1"/>
    <col min="13" max="16384" width="9.140625" style="9"/>
  </cols>
  <sheetData>
    <row r="3" spans="3:18" ht="49.5" customHeight="1" x14ac:dyDescent="0.25">
      <c r="C3" s="92" t="s">
        <v>372</v>
      </c>
      <c r="D3" s="93"/>
      <c r="E3" s="93"/>
      <c r="F3" s="93"/>
      <c r="G3" s="97"/>
      <c r="H3" s="97"/>
      <c r="I3" s="97"/>
      <c r="J3" s="97"/>
      <c r="K3" s="39"/>
    </row>
    <row r="4" spans="3:18" x14ac:dyDescent="0.25">
      <c r="R4"/>
    </row>
    <row r="5" spans="3:18" ht="18.75" customHeight="1" x14ac:dyDescent="0.25">
      <c r="D5" s="96" t="s">
        <v>421</v>
      </c>
      <c r="E5" s="96"/>
      <c r="F5" s="96"/>
      <c r="G5" s="96"/>
      <c r="H5" s="96"/>
      <c r="I5" s="96"/>
      <c r="J5" s="96"/>
    </row>
    <row r="6" spans="3:18" ht="15.75" customHeight="1" x14ac:dyDescent="0.25">
      <c r="D6" s="96"/>
      <c r="E6" s="96"/>
      <c r="F6" s="96"/>
      <c r="G6" s="96"/>
      <c r="H6" s="96"/>
      <c r="I6" s="96"/>
      <c r="J6" s="96"/>
    </row>
    <row r="7" spans="3:18" x14ac:dyDescent="0.25">
      <c r="D7" s="96"/>
      <c r="E7" s="96"/>
      <c r="F7" s="96"/>
      <c r="G7" s="96"/>
      <c r="H7" s="96"/>
      <c r="I7" s="96"/>
      <c r="J7" s="96"/>
    </row>
    <row r="8" spans="3:18" ht="15" customHeight="1" x14ac:dyDescent="0.25">
      <c r="D8" s="96"/>
      <c r="E8" s="96"/>
      <c r="F8" s="96"/>
      <c r="G8" s="96"/>
      <c r="H8" s="96"/>
      <c r="I8" s="96"/>
      <c r="J8" s="96"/>
    </row>
    <row r="10" spans="3:18" ht="18.75" x14ac:dyDescent="0.3">
      <c r="C10" s="94" t="s">
        <v>20</v>
      </c>
      <c r="D10" s="94"/>
      <c r="E10" s="94"/>
      <c r="F10" s="94"/>
      <c r="G10" s="94"/>
      <c r="H10" s="94"/>
      <c r="I10" s="94"/>
      <c r="J10" s="94"/>
    </row>
    <row r="11" spans="3:18" x14ac:dyDescent="0.25">
      <c r="C11" s="15" t="s">
        <v>21</v>
      </c>
      <c r="D11" s="95" t="s">
        <v>393</v>
      </c>
      <c r="E11" s="95"/>
      <c r="F11" s="95"/>
      <c r="G11" s="95"/>
      <c r="H11" s="95"/>
      <c r="I11" s="95"/>
      <c r="J11" s="95"/>
    </row>
    <row r="12" spans="3:18" x14ac:dyDescent="0.25">
      <c r="D12" s="95"/>
      <c r="E12" s="95"/>
      <c r="F12" s="95"/>
      <c r="G12" s="95"/>
      <c r="H12" s="95"/>
      <c r="I12" s="95"/>
      <c r="J12" s="95"/>
    </row>
    <row r="13" spans="3:18" x14ac:dyDescent="0.25">
      <c r="C13" s="17" t="s">
        <v>21</v>
      </c>
      <c r="D13" s="98" t="s">
        <v>22</v>
      </c>
      <c r="E13" s="98"/>
      <c r="F13" s="98"/>
      <c r="G13" s="98"/>
      <c r="H13" s="98"/>
      <c r="I13" s="98"/>
      <c r="J13" s="98"/>
    </row>
    <row r="14" spans="3:18" ht="15" customHeight="1" x14ac:dyDescent="0.25">
      <c r="C14" s="15" t="s">
        <v>21</v>
      </c>
      <c r="D14" s="99" t="s">
        <v>394</v>
      </c>
      <c r="E14" s="99"/>
      <c r="F14" s="99"/>
      <c r="G14" s="99"/>
      <c r="H14" s="99"/>
      <c r="I14" s="99"/>
      <c r="J14" s="99"/>
    </row>
    <row r="15" spans="3:18" ht="15" customHeight="1" x14ac:dyDescent="0.25">
      <c r="C15" s="41" t="s">
        <v>21</v>
      </c>
      <c r="D15" s="89" t="s">
        <v>384</v>
      </c>
      <c r="E15" s="89"/>
      <c r="F15" s="89"/>
      <c r="G15" s="89"/>
      <c r="H15" s="89"/>
      <c r="I15" s="89"/>
      <c r="J15" s="89"/>
    </row>
    <row r="16" spans="3:18" ht="15" customHeight="1" x14ac:dyDescent="0.25">
      <c r="D16" s="109" t="s">
        <v>395</v>
      </c>
      <c r="E16" s="109"/>
      <c r="F16" s="109"/>
      <c r="G16" s="109"/>
      <c r="H16" s="109"/>
      <c r="I16" s="109"/>
      <c r="J16" s="109"/>
    </row>
    <row r="17" spans="3:12" ht="15" customHeight="1" x14ac:dyDescent="0.25">
      <c r="C17" s="15" t="s">
        <v>21</v>
      </c>
      <c r="D17" s="89" t="s">
        <v>392</v>
      </c>
      <c r="E17" s="89"/>
      <c r="F17" s="89"/>
      <c r="G17" s="89"/>
      <c r="H17" s="89"/>
      <c r="I17" s="89"/>
      <c r="J17" s="89"/>
    </row>
    <row r="18" spans="3:12" ht="32.25" customHeight="1" x14ac:dyDescent="0.25">
      <c r="C18" s="16"/>
      <c r="D18" s="89"/>
      <c r="E18" s="89"/>
      <c r="F18" s="89"/>
      <c r="G18" s="89"/>
      <c r="H18" s="89"/>
      <c r="I18" s="89"/>
      <c r="J18" s="89"/>
    </row>
    <row r="19" spans="3:12" x14ac:dyDescent="0.25">
      <c r="C19" s="15" t="s">
        <v>21</v>
      </c>
      <c r="D19" s="89" t="s">
        <v>376</v>
      </c>
      <c r="E19" s="89"/>
      <c r="F19" s="89"/>
      <c r="G19" s="89"/>
      <c r="H19" s="89"/>
      <c r="I19" s="89"/>
      <c r="J19" s="89"/>
    </row>
    <row r="21" spans="3:12" ht="15" customHeight="1" x14ac:dyDescent="0.3">
      <c r="C21" s="94" t="s">
        <v>23</v>
      </c>
      <c r="D21" s="94"/>
      <c r="E21" s="94"/>
      <c r="F21" s="94"/>
      <c r="G21" s="94"/>
      <c r="H21" s="94"/>
      <c r="I21" s="94"/>
      <c r="J21" s="94"/>
    </row>
    <row r="22" spans="3:12" x14ac:dyDescent="0.25">
      <c r="C22" s="15" t="s">
        <v>21</v>
      </c>
      <c r="D22" s="18" t="s">
        <v>24</v>
      </c>
      <c r="E22" s="95" t="s">
        <v>383</v>
      </c>
      <c r="F22" s="95"/>
      <c r="G22" s="95"/>
      <c r="H22" s="95"/>
      <c r="I22" s="95"/>
      <c r="J22" s="95"/>
    </row>
    <row r="23" spans="3:12" ht="15" customHeight="1" x14ac:dyDescent="0.25">
      <c r="C23" s="15"/>
      <c r="D23" s="18"/>
      <c r="E23" s="95"/>
      <c r="F23" s="95"/>
      <c r="G23" s="95"/>
      <c r="H23" s="95"/>
      <c r="I23" s="95"/>
      <c r="J23" s="95"/>
    </row>
    <row r="24" spans="3:12" ht="5.25" customHeight="1" x14ac:dyDescent="0.25">
      <c r="D24" s="44"/>
      <c r="E24" s="87"/>
      <c r="F24" s="87"/>
      <c r="G24" s="87"/>
      <c r="H24" s="87"/>
      <c r="I24" s="87"/>
      <c r="J24" s="87"/>
    </row>
    <row r="25" spans="3:12" ht="15.75" customHeight="1" x14ac:dyDescent="0.25">
      <c r="C25" s="15" t="s">
        <v>21</v>
      </c>
      <c r="D25" s="18" t="s">
        <v>25</v>
      </c>
      <c r="E25" s="87" t="s">
        <v>391</v>
      </c>
      <c r="F25" s="87"/>
      <c r="G25" s="87"/>
      <c r="H25" s="87"/>
      <c r="I25" s="87"/>
      <c r="J25" s="87"/>
      <c r="K25" s="12"/>
      <c r="L25" s="8"/>
    </row>
    <row r="26" spans="3:12" ht="21.75" customHeight="1" x14ac:dyDescent="0.25">
      <c r="E26" s="91"/>
      <c r="F26" s="91"/>
      <c r="G26" s="91"/>
      <c r="H26" s="91"/>
      <c r="I26" s="91"/>
      <c r="J26" s="91"/>
    </row>
    <row r="27" spans="3:12" ht="9" customHeight="1" x14ac:dyDescent="0.25">
      <c r="E27" s="88"/>
      <c r="F27" s="88"/>
      <c r="G27" s="88"/>
      <c r="H27" s="88"/>
      <c r="I27" s="88"/>
      <c r="J27" s="88"/>
    </row>
    <row r="28" spans="3:12" ht="15.75" customHeight="1" x14ac:dyDescent="0.25">
      <c r="C28" s="16" t="s">
        <v>21</v>
      </c>
      <c r="D28" s="18" t="s">
        <v>370</v>
      </c>
      <c r="K28" s="13"/>
      <c r="L28" s="13"/>
    </row>
    <row r="29" spans="3:12" ht="15" customHeight="1" x14ac:dyDescent="0.25">
      <c r="E29" s="88"/>
      <c r="F29" s="88"/>
      <c r="G29" s="88"/>
      <c r="H29" s="88"/>
      <c r="I29" s="88"/>
      <c r="J29" s="88"/>
    </row>
    <row r="30" spans="3:12" x14ac:dyDescent="0.25">
      <c r="E30" s="88"/>
      <c r="F30" s="88"/>
      <c r="G30" s="88"/>
      <c r="H30" s="88"/>
      <c r="I30" s="88"/>
      <c r="J30" s="88"/>
    </row>
    <row r="31" spans="3:12" ht="15" customHeight="1" x14ac:dyDescent="0.25">
      <c r="C31" s="16"/>
      <c r="D31" s="18"/>
      <c r="E31" s="88"/>
      <c r="F31" s="88"/>
      <c r="G31" s="88"/>
      <c r="H31" s="88"/>
      <c r="I31" s="88"/>
      <c r="J31" s="88"/>
    </row>
    <row r="32" spans="3:12" x14ac:dyDescent="0.25">
      <c r="E32" s="22"/>
      <c r="F32" s="22"/>
      <c r="G32" s="22"/>
      <c r="H32" s="22"/>
      <c r="I32" s="22"/>
      <c r="J32" s="22"/>
    </row>
    <row r="33" spans="2:11" ht="9" customHeight="1" x14ac:dyDescent="0.25">
      <c r="D33" s="44"/>
      <c r="E33" s="88"/>
      <c r="F33" s="88"/>
      <c r="G33" s="88"/>
      <c r="H33" s="88"/>
      <c r="I33" s="88"/>
      <c r="J33" s="88"/>
    </row>
    <row r="34" spans="2:11" x14ac:dyDescent="0.25">
      <c r="C34" s="16" t="s">
        <v>21</v>
      </c>
      <c r="D34" s="18" t="s">
        <v>371</v>
      </c>
    </row>
    <row r="35" spans="2:11" ht="21.75" customHeight="1" x14ac:dyDescent="0.25">
      <c r="B35" s="19"/>
    </row>
    <row r="36" spans="2:11" ht="15" customHeight="1" x14ac:dyDescent="0.25"/>
    <row r="37" spans="2:11" x14ac:dyDescent="0.25">
      <c r="J37" s="90" t="s">
        <v>419</v>
      </c>
      <c r="K37" s="90"/>
    </row>
    <row r="40" spans="2:11" x14ac:dyDescent="0.25">
      <c r="C40" s="110" t="s">
        <v>26</v>
      </c>
      <c r="D40" s="110"/>
      <c r="E40" s="110"/>
      <c r="F40" s="110"/>
      <c r="G40" s="110"/>
      <c r="H40" s="110"/>
      <c r="I40" s="110"/>
      <c r="J40" s="110"/>
    </row>
    <row r="41" spans="2:11" x14ac:dyDescent="0.25">
      <c r="C41" s="111"/>
      <c r="D41" s="111"/>
      <c r="E41" s="111"/>
      <c r="F41" s="111"/>
      <c r="G41" s="111"/>
      <c r="H41" s="111"/>
      <c r="I41" s="111"/>
      <c r="J41" s="111"/>
    </row>
    <row r="42" spans="2:11" ht="18.75" x14ac:dyDescent="0.3">
      <c r="C42" s="112" t="s">
        <v>27</v>
      </c>
      <c r="D42" s="113"/>
      <c r="E42" s="113"/>
      <c r="F42" s="113"/>
      <c r="G42" s="113"/>
      <c r="H42" s="113"/>
      <c r="I42" s="113"/>
      <c r="J42" s="114"/>
    </row>
    <row r="43" spans="2:11" ht="15" customHeight="1" x14ac:dyDescent="0.25">
      <c r="C43" s="106" t="s">
        <v>28</v>
      </c>
      <c r="D43" s="107"/>
      <c r="E43" s="107"/>
      <c r="F43" s="107"/>
      <c r="G43" s="107"/>
      <c r="H43" s="107"/>
      <c r="I43" s="107"/>
      <c r="J43" s="108"/>
    </row>
    <row r="44" spans="2:11" ht="15" customHeight="1" x14ac:dyDescent="0.25">
      <c r="C44" s="100" t="s">
        <v>30</v>
      </c>
      <c r="D44" s="101"/>
      <c r="E44" s="101"/>
      <c r="F44" s="101"/>
      <c r="G44" s="101"/>
      <c r="H44" s="101"/>
      <c r="I44" s="101"/>
      <c r="J44" s="102"/>
    </row>
    <row r="45" spans="2:11" ht="15" customHeight="1" x14ac:dyDescent="0.25">
      <c r="C45" s="103" t="s">
        <v>396</v>
      </c>
      <c r="D45" s="104"/>
      <c r="E45" s="104"/>
      <c r="F45" s="104"/>
      <c r="G45" s="104"/>
      <c r="H45" s="104"/>
      <c r="I45" s="104"/>
      <c r="J45" s="105"/>
    </row>
    <row r="46" spans="2:11" x14ac:dyDescent="0.25">
      <c r="D46" s="9"/>
      <c r="E46" s="9"/>
      <c r="F46" s="9"/>
      <c r="G46" s="9"/>
      <c r="H46" s="9"/>
      <c r="I46" s="9"/>
      <c r="J46" s="9"/>
    </row>
    <row r="47" spans="2:11" ht="18.75" x14ac:dyDescent="0.3">
      <c r="C47" s="112" t="s">
        <v>33</v>
      </c>
      <c r="D47" s="113"/>
      <c r="E47" s="113"/>
      <c r="F47" s="113"/>
      <c r="G47" s="113"/>
      <c r="H47" s="113"/>
      <c r="I47" s="113"/>
      <c r="J47" s="114"/>
    </row>
    <row r="48" spans="2:11" x14ac:dyDescent="0.25">
      <c r="C48" s="106" t="s">
        <v>34</v>
      </c>
      <c r="D48" s="107"/>
      <c r="E48" s="107"/>
      <c r="F48" s="107"/>
      <c r="G48" s="107"/>
      <c r="H48" s="107"/>
      <c r="I48" s="107"/>
      <c r="J48" s="108"/>
    </row>
    <row r="49" spans="3:10" x14ac:dyDescent="0.25">
      <c r="C49" s="100" t="s">
        <v>35</v>
      </c>
      <c r="D49" s="101"/>
      <c r="E49" s="101"/>
      <c r="F49" s="101"/>
      <c r="G49" s="101"/>
      <c r="H49" s="101"/>
      <c r="I49" s="101"/>
      <c r="J49" s="102"/>
    </row>
    <row r="50" spans="3:10" x14ac:dyDescent="0.25">
      <c r="C50" s="100" t="s">
        <v>36</v>
      </c>
      <c r="D50" s="101"/>
      <c r="E50" s="101"/>
      <c r="F50" s="101"/>
      <c r="G50" s="101"/>
      <c r="H50" s="101"/>
      <c r="I50" s="101"/>
      <c r="J50" s="102"/>
    </row>
    <row r="51" spans="3:10" x14ac:dyDescent="0.25">
      <c r="C51" s="100" t="s">
        <v>37</v>
      </c>
      <c r="D51" s="101"/>
      <c r="E51" s="101"/>
      <c r="F51" s="101"/>
      <c r="G51" s="101"/>
      <c r="H51" s="101"/>
      <c r="I51" s="101"/>
      <c r="J51" s="102"/>
    </row>
    <row r="52" spans="3:10" x14ac:dyDescent="0.25">
      <c r="C52" s="103" t="s">
        <v>397</v>
      </c>
      <c r="D52" s="104"/>
      <c r="E52" s="104"/>
      <c r="F52" s="104"/>
      <c r="G52" s="104"/>
      <c r="H52" s="104"/>
      <c r="I52" s="104"/>
      <c r="J52" s="105"/>
    </row>
    <row r="53" spans="3:10" x14ac:dyDescent="0.25">
      <c r="D53" s="9"/>
      <c r="E53" s="9"/>
      <c r="F53" s="9"/>
      <c r="G53" s="9"/>
      <c r="H53" s="9"/>
      <c r="I53" s="9"/>
      <c r="J53" s="9"/>
    </row>
    <row r="54" spans="3:10" ht="18.75" x14ac:dyDescent="0.3">
      <c r="C54" s="115" t="s">
        <v>381</v>
      </c>
      <c r="D54" s="116"/>
      <c r="E54" s="116"/>
      <c r="F54" s="116"/>
      <c r="G54" s="116"/>
      <c r="H54" s="116"/>
      <c r="I54" s="116"/>
      <c r="J54" s="117"/>
    </row>
    <row r="55" spans="3:10" x14ac:dyDescent="0.25">
      <c r="C55" s="135" t="s">
        <v>29</v>
      </c>
      <c r="D55" s="136"/>
      <c r="E55" s="136"/>
      <c r="F55" s="136"/>
      <c r="G55" s="136"/>
      <c r="H55" s="136"/>
      <c r="I55" s="136"/>
      <c r="J55" s="137"/>
    </row>
    <row r="56" spans="3:10" x14ac:dyDescent="0.25">
      <c r="C56" s="132" t="s">
        <v>31</v>
      </c>
      <c r="D56" s="133"/>
      <c r="E56" s="133"/>
      <c r="F56" s="133"/>
      <c r="G56" s="133"/>
      <c r="H56" s="133"/>
      <c r="I56" s="133"/>
      <c r="J56" s="134"/>
    </row>
    <row r="57" spans="3:10" x14ac:dyDescent="0.25">
      <c r="C57" s="132" t="s">
        <v>32</v>
      </c>
      <c r="D57" s="133"/>
      <c r="E57" s="133"/>
      <c r="F57" s="133"/>
      <c r="G57" s="133"/>
      <c r="H57" s="133"/>
      <c r="I57" s="133"/>
      <c r="J57" s="134"/>
    </row>
    <row r="58" spans="3:10" x14ac:dyDescent="0.25">
      <c r="C58" s="103" t="s">
        <v>398</v>
      </c>
      <c r="D58" s="104"/>
      <c r="E58" s="104"/>
      <c r="F58" s="104"/>
      <c r="G58" s="104"/>
      <c r="H58" s="104"/>
      <c r="I58" s="104"/>
      <c r="J58" s="105"/>
    </row>
    <row r="59" spans="3:10" x14ac:dyDescent="0.25">
      <c r="D59" s="9"/>
      <c r="E59" s="9"/>
      <c r="F59" s="9"/>
      <c r="G59" s="9"/>
      <c r="H59" s="9"/>
      <c r="I59" s="9"/>
      <c r="J59" s="9"/>
    </row>
    <row r="60" spans="3:10" ht="18.75" x14ac:dyDescent="0.3">
      <c r="C60" s="112" t="s">
        <v>382</v>
      </c>
      <c r="D60" s="113"/>
      <c r="E60" s="113"/>
      <c r="F60" s="113"/>
      <c r="G60" s="113"/>
      <c r="H60" s="113"/>
      <c r="I60" s="113"/>
      <c r="J60" s="114"/>
    </row>
    <row r="61" spans="3:10" x14ac:dyDescent="0.25">
      <c r="C61" s="135" t="s">
        <v>34</v>
      </c>
      <c r="D61" s="136"/>
      <c r="E61" s="136"/>
      <c r="F61" s="136"/>
      <c r="G61" s="136"/>
      <c r="H61" s="136"/>
      <c r="I61" s="136"/>
      <c r="J61" s="137"/>
    </row>
    <row r="62" spans="3:10" x14ac:dyDescent="0.25">
      <c r="C62" s="132" t="s">
        <v>35</v>
      </c>
      <c r="D62" s="133"/>
      <c r="E62" s="133"/>
      <c r="F62" s="133"/>
      <c r="G62" s="133"/>
      <c r="H62" s="133"/>
      <c r="I62" s="133"/>
      <c r="J62" s="134"/>
    </row>
    <row r="63" spans="3:10" x14ac:dyDescent="0.25">
      <c r="C63" s="144" t="s">
        <v>415</v>
      </c>
      <c r="D63" s="145"/>
      <c r="E63" s="145"/>
      <c r="F63" s="145"/>
      <c r="G63" s="145"/>
      <c r="H63" s="145"/>
      <c r="I63" s="145"/>
      <c r="J63" s="146"/>
    </row>
    <row r="64" spans="3:10" x14ac:dyDescent="0.25">
      <c r="C64" s="144"/>
      <c r="D64" s="145"/>
      <c r="E64" s="145"/>
      <c r="F64" s="145"/>
      <c r="G64" s="145"/>
      <c r="H64" s="145"/>
      <c r="I64" s="145"/>
      <c r="J64" s="146"/>
    </row>
    <row r="65" spans="3:10" x14ac:dyDescent="0.25">
      <c r="C65" s="144" t="s">
        <v>388</v>
      </c>
      <c r="D65" s="145"/>
      <c r="E65" s="145"/>
      <c r="F65" s="145"/>
      <c r="G65" s="145"/>
      <c r="H65" s="145"/>
      <c r="I65" s="145"/>
      <c r="J65" s="146"/>
    </row>
    <row r="66" spans="3:10" x14ac:dyDescent="0.25">
      <c r="C66" s="144"/>
      <c r="D66" s="145"/>
      <c r="E66" s="145"/>
      <c r="F66" s="145"/>
      <c r="G66" s="145"/>
      <c r="H66" s="145"/>
      <c r="I66" s="145"/>
      <c r="J66" s="146"/>
    </row>
    <row r="67" spans="3:10" x14ac:dyDescent="0.25">
      <c r="C67" s="118" t="s">
        <v>38</v>
      </c>
      <c r="D67" s="119"/>
      <c r="E67" s="119"/>
      <c r="F67" s="119"/>
      <c r="G67" s="119"/>
      <c r="H67" s="119"/>
      <c r="I67" s="119"/>
      <c r="J67" s="120"/>
    </row>
    <row r="68" spans="3:10" x14ac:dyDescent="0.25">
      <c r="C68" s="103" t="s">
        <v>399</v>
      </c>
      <c r="D68" s="104"/>
      <c r="E68" s="104"/>
      <c r="F68" s="104"/>
      <c r="G68" s="104"/>
      <c r="H68" s="104"/>
      <c r="I68" s="104"/>
      <c r="J68" s="105"/>
    </row>
    <row r="69" spans="3:10" x14ac:dyDescent="0.25">
      <c r="D69" s="9"/>
      <c r="E69" s="9"/>
      <c r="F69" s="9"/>
      <c r="G69" s="9"/>
      <c r="H69" s="9"/>
      <c r="I69" s="9"/>
      <c r="J69" s="9"/>
    </row>
    <row r="70" spans="3:10" ht="18.75" customHeight="1" x14ac:dyDescent="0.3">
      <c r="C70" s="141" t="s">
        <v>379</v>
      </c>
      <c r="D70" s="142"/>
      <c r="E70" s="142"/>
      <c r="F70" s="142"/>
      <c r="G70" s="142"/>
      <c r="H70" s="142"/>
      <c r="I70" s="142"/>
      <c r="J70" s="143"/>
    </row>
    <row r="71" spans="3:10" ht="15" customHeight="1" x14ac:dyDescent="0.25">
      <c r="C71" s="106" t="s">
        <v>387</v>
      </c>
      <c r="D71" s="107"/>
      <c r="E71" s="107"/>
      <c r="F71" s="107"/>
      <c r="G71" s="107"/>
      <c r="H71" s="107"/>
      <c r="I71" s="107"/>
      <c r="J71" s="108"/>
    </row>
    <row r="72" spans="3:10" ht="15" customHeight="1" x14ac:dyDescent="0.25">
      <c r="C72" s="100" t="s">
        <v>400</v>
      </c>
      <c r="D72" s="101"/>
      <c r="E72" s="101"/>
      <c r="F72" s="101"/>
      <c r="G72" s="101"/>
      <c r="H72" s="101"/>
      <c r="I72" s="101"/>
      <c r="J72" s="102"/>
    </row>
    <row r="73" spans="3:10" x14ac:dyDescent="0.25">
      <c r="C73" s="138" t="s">
        <v>401</v>
      </c>
      <c r="D73" s="139"/>
      <c r="E73" s="139"/>
      <c r="F73" s="139"/>
      <c r="G73" s="139"/>
      <c r="H73" s="139"/>
      <c r="I73" s="139"/>
      <c r="J73" s="140"/>
    </row>
    <row r="74" spans="3:10" x14ac:dyDescent="0.25">
      <c r="D74" s="9"/>
      <c r="E74" s="9"/>
      <c r="F74" s="9"/>
      <c r="G74" s="9"/>
      <c r="H74" s="9"/>
      <c r="I74" s="9"/>
      <c r="J74" s="9"/>
    </row>
    <row r="75" spans="3:10" ht="18.75" x14ac:dyDescent="0.3">
      <c r="C75" s="122" t="s">
        <v>39</v>
      </c>
      <c r="D75" s="123"/>
      <c r="E75" s="123"/>
      <c r="F75" s="123"/>
      <c r="G75" s="123"/>
      <c r="H75" s="123"/>
      <c r="I75" s="123"/>
      <c r="J75" s="124"/>
    </row>
    <row r="76" spans="3:10" ht="18.75" x14ac:dyDescent="0.3">
      <c r="C76" s="125" t="s">
        <v>40</v>
      </c>
      <c r="D76" s="126"/>
      <c r="E76" s="126"/>
      <c r="F76" s="126"/>
      <c r="G76" s="126"/>
      <c r="H76" s="126"/>
      <c r="I76" s="126"/>
      <c r="J76" s="127"/>
    </row>
    <row r="77" spans="3:10" ht="15" customHeight="1" x14ac:dyDescent="0.25">
      <c r="C77" s="128" t="s">
        <v>41</v>
      </c>
      <c r="D77" s="129"/>
      <c r="E77" s="129"/>
      <c r="F77" s="129"/>
      <c r="G77" s="129"/>
      <c r="H77" s="129"/>
      <c r="I77" s="129"/>
      <c r="J77" s="130"/>
    </row>
    <row r="78" spans="3:10" x14ac:dyDescent="0.25">
      <c r="C78" s="47" t="s">
        <v>51</v>
      </c>
      <c r="D78" s="48"/>
      <c r="E78" s="48"/>
      <c r="F78" s="131" t="s">
        <v>42</v>
      </c>
      <c r="G78" s="131"/>
      <c r="H78" s="131"/>
      <c r="I78" s="131"/>
      <c r="J78" s="20"/>
    </row>
    <row r="79" spans="3:10" x14ac:dyDescent="0.25">
      <c r="C79" s="47" t="s">
        <v>43</v>
      </c>
      <c r="D79" s="48"/>
      <c r="E79" s="48"/>
      <c r="F79" s="131" t="s">
        <v>44</v>
      </c>
      <c r="G79" s="131"/>
      <c r="H79" s="131"/>
      <c r="I79" s="131"/>
      <c r="J79" s="20"/>
    </row>
    <row r="80" spans="3:10" x14ac:dyDescent="0.25">
      <c r="C80" s="47" t="s">
        <v>45</v>
      </c>
      <c r="D80" s="48"/>
      <c r="E80" s="48"/>
      <c r="F80" s="131" t="s">
        <v>46</v>
      </c>
      <c r="G80" s="131"/>
      <c r="H80" s="131"/>
      <c r="I80" s="131"/>
      <c r="J80" s="45"/>
    </row>
    <row r="81" spans="3:10" x14ac:dyDescent="0.25">
      <c r="C81" s="47" t="s">
        <v>377</v>
      </c>
      <c r="D81" s="48"/>
      <c r="E81" s="48"/>
      <c r="F81" s="131" t="s">
        <v>378</v>
      </c>
      <c r="G81" s="131"/>
      <c r="H81" s="131"/>
      <c r="I81" s="131"/>
      <c r="J81" s="21" t="s">
        <v>385</v>
      </c>
    </row>
    <row r="82" spans="3:10" x14ac:dyDescent="0.25">
      <c r="C82" s="49" t="s">
        <v>47</v>
      </c>
      <c r="D82" s="50"/>
      <c r="E82" s="50"/>
      <c r="F82" s="121" t="s">
        <v>48</v>
      </c>
      <c r="G82" s="121"/>
      <c r="H82" s="121"/>
      <c r="I82" s="121"/>
      <c r="J82" s="40" t="s">
        <v>420</v>
      </c>
    </row>
  </sheetData>
  <mergeCells count="56">
    <mergeCell ref="C55:J55"/>
    <mergeCell ref="C73:J73"/>
    <mergeCell ref="C72:J72"/>
    <mergeCell ref="C71:J71"/>
    <mergeCell ref="C70:J70"/>
    <mergeCell ref="C63:J64"/>
    <mergeCell ref="C65:J66"/>
    <mergeCell ref="C58:J58"/>
    <mergeCell ref="C60:J60"/>
    <mergeCell ref="C61:J61"/>
    <mergeCell ref="C57:J57"/>
    <mergeCell ref="C54:J54"/>
    <mergeCell ref="C47:J47"/>
    <mergeCell ref="C68:J68"/>
    <mergeCell ref="C67:J67"/>
    <mergeCell ref="F82:I82"/>
    <mergeCell ref="C75:J75"/>
    <mergeCell ref="C76:J76"/>
    <mergeCell ref="C77:J77"/>
    <mergeCell ref="F78:I78"/>
    <mergeCell ref="F81:I81"/>
    <mergeCell ref="F80:I80"/>
    <mergeCell ref="F79:I79"/>
    <mergeCell ref="C50:J50"/>
    <mergeCell ref="C56:J56"/>
    <mergeCell ref="C48:J48"/>
    <mergeCell ref="C62:J62"/>
    <mergeCell ref="D13:J13"/>
    <mergeCell ref="D14:J14"/>
    <mergeCell ref="C44:J44"/>
    <mergeCell ref="C45:J45"/>
    <mergeCell ref="C52:J52"/>
    <mergeCell ref="C49:J49"/>
    <mergeCell ref="C43:J43"/>
    <mergeCell ref="C51:J51"/>
    <mergeCell ref="D15:J15"/>
    <mergeCell ref="D16:J16"/>
    <mergeCell ref="C40:J41"/>
    <mergeCell ref="C42:J42"/>
    <mergeCell ref="E22:J23"/>
    <mergeCell ref="D17:J18"/>
    <mergeCell ref="C21:J21"/>
    <mergeCell ref="E25:J25"/>
    <mergeCell ref="C3:F3"/>
    <mergeCell ref="C10:J10"/>
    <mergeCell ref="D11:J12"/>
    <mergeCell ref="D5:J8"/>
    <mergeCell ref="G3:J3"/>
    <mergeCell ref="E24:J24"/>
    <mergeCell ref="E33:J33"/>
    <mergeCell ref="D19:J19"/>
    <mergeCell ref="J37:K37"/>
    <mergeCell ref="E27:J27"/>
    <mergeCell ref="E26:J26"/>
    <mergeCell ref="E29:J29"/>
    <mergeCell ref="E30:J31"/>
  </mergeCells>
  <hyperlinks>
    <hyperlink ref="F78" r:id="rId1"/>
    <hyperlink ref="F79" r:id="rId2"/>
    <hyperlink ref="F82" r:id="rId3"/>
    <hyperlink ref="C75:J75" r:id="rId4" display="For public beta release under the NIST Software Disclaimer."/>
    <hyperlink ref="F80" r:id="rId5"/>
    <hyperlink ref="F81" r:id="rId6"/>
    <hyperlink ref="D16:J16" location="Instructions!C71" display="See additional details in Supplemental Information below."/>
  </hyperlinks>
  <pageMargins left="0.7" right="0.7" top="0.75" bottom="0.75" header="0.3" footer="0.3"/>
  <pageSetup orientation="portrait" r:id="rId7"/>
  <drawing r:id="rId8"/>
  <legacyDrawing r:id="rId9"/>
  <controls>
    <mc:AlternateContent xmlns:mc="http://schemas.openxmlformats.org/markup-compatibility/2006">
      <mc:Choice Requires="x14">
        <control shapeId="17409" r:id="rId10" name="SRM_select">
          <controlPr autoLine="0" listFillRange="certlist!A2:A2" r:id="rId11">
            <anchor moveWithCells="1">
              <from>
                <xdr:col>4</xdr:col>
                <xdr:colOff>9525</xdr:colOff>
                <xdr:row>25</xdr:row>
                <xdr:rowOff>28575</xdr:rowOff>
              </from>
              <to>
                <xdr:col>9</xdr:col>
                <xdr:colOff>895350</xdr:colOff>
                <xdr:row>25</xdr:row>
                <xdr:rowOff>266700</xdr:rowOff>
              </to>
            </anchor>
          </controlPr>
        </control>
      </mc:Choice>
      <mc:Fallback>
        <control shapeId="17409" r:id="rId10" name="SRM_sele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XFD431"/>
  <sheetViews>
    <sheetView showRowColHeaders="0" workbookViewId="0">
      <selection activeCell="A159" sqref="A159:D161"/>
    </sheetView>
  </sheetViews>
  <sheetFormatPr defaultColWidth="9.140625" defaultRowHeight="14.25" x14ac:dyDescent="0.2"/>
  <cols>
    <col min="1" max="1" width="22.140625" style="57" bestFit="1" customWidth="1"/>
    <col min="2" max="4" width="11.5703125" style="58" customWidth="1"/>
    <col min="5" max="7" width="11.85546875" style="58" bestFit="1" customWidth="1"/>
    <col min="8" max="9" width="9.85546875" style="58" bestFit="1" customWidth="1"/>
    <col min="10" max="16384" width="9.140625" style="59"/>
  </cols>
  <sheetData>
    <row r="1" spans="1:16384" s="148" customFormat="1" ht="15.75" thickBot="1" x14ac:dyDescent="0.3">
      <c r="A1" s="52" t="s">
        <v>380</v>
      </c>
      <c r="B1" s="147" t="s">
        <v>402</v>
      </c>
    </row>
    <row r="2" spans="1:16384" s="56" customFormat="1" ht="15" thickBot="1" x14ac:dyDescent="0.25">
      <c r="A2" s="53" t="s">
        <v>364</v>
      </c>
      <c r="B2" s="54" t="s">
        <v>422</v>
      </c>
      <c r="C2" s="54" t="s">
        <v>423</v>
      </c>
      <c r="D2" s="54" t="s">
        <v>424</v>
      </c>
      <c r="E2" s="54"/>
      <c r="F2" s="54"/>
      <c r="G2" s="54"/>
      <c r="H2" s="54"/>
      <c r="I2" s="54"/>
      <c r="J2" s="54"/>
      <c r="K2" s="54"/>
      <c r="L2" s="54"/>
      <c r="M2" s="54"/>
      <c r="N2" s="54"/>
      <c r="O2" s="54"/>
      <c r="P2" s="54"/>
      <c r="Q2" s="54"/>
      <c r="R2" s="54"/>
      <c r="S2" s="55"/>
      <c r="T2" s="55"/>
      <c r="U2" s="55"/>
      <c r="V2" s="55"/>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c r="CJ2" s="55"/>
      <c r="CK2" s="55"/>
      <c r="CL2" s="55"/>
      <c r="CM2" s="55"/>
      <c r="CN2" s="55"/>
      <c r="CO2" s="55"/>
      <c r="CP2" s="55"/>
      <c r="CQ2" s="55"/>
      <c r="CR2" s="55"/>
      <c r="CS2" s="55"/>
      <c r="CT2" s="55"/>
      <c r="CU2" s="55"/>
      <c r="CV2" s="55"/>
      <c r="CW2" s="55"/>
      <c r="CX2" s="55"/>
      <c r="CY2" s="55"/>
      <c r="CZ2" s="55"/>
      <c r="DA2" s="55"/>
      <c r="DB2" s="55"/>
      <c r="DC2" s="55"/>
      <c r="DD2" s="55"/>
      <c r="DE2" s="55"/>
      <c r="DF2" s="55"/>
      <c r="DG2" s="55"/>
      <c r="DH2" s="55"/>
      <c r="DI2" s="55"/>
      <c r="DJ2" s="55"/>
      <c r="DK2" s="55"/>
      <c r="DL2" s="55"/>
      <c r="DM2" s="55"/>
      <c r="DN2" s="55"/>
      <c r="DO2" s="55"/>
      <c r="DP2" s="55"/>
      <c r="DQ2" s="55"/>
      <c r="DR2" s="55"/>
      <c r="DS2" s="55"/>
      <c r="DT2" s="55"/>
      <c r="DU2" s="55"/>
      <c r="DV2" s="55"/>
      <c r="DW2" s="55"/>
      <c r="DX2" s="55"/>
      <c r="DY2" s="55"/>
      <c r="DZ2" s="55"/>
      <c r="EA2" s="55"/>
      <c r="EB2" s="55"/>
      <c r="EC2" s="55"/>
      <c r="ED2" s="55"/>
      <c r="EE2" s="55"/>
      <c r="EF2" s="55"/>
      <c r="EG2" s="55"/>
      <c r="EH2" s="55"/>
      <c r="EI2" s="55"/>
      <c r="EJ2" s="55"/>
      <c r="EK2" s="55"/>
      <c r="EL2" s="55"/>
      <c r="EM2" s="55"/>
      <c r="EN2" s="55"/>
      <c r="EO2" s="55"/>
      <c r="EP2" s="55"/>
      <c r="EQ2" s="55"/>
      <c r="ER2" s="55"/>
      <c r="ES2" s="55"/>
      <c r="ET2" s="55"/>
      <c r="EU2" s="55"/>
      <c r="EV2" s="55"/>
      <c r="EW2" s="55"/>
      <c r="EX2" s="55"/>
      <c r="EY2" s="55"/>
      <c r="EZ2" s="55"/>
      <c r="FA2" s="55"/>
      <c r="FB2" s="55"/>
      <c r="FC2" s="55"/>
      <c r="FD2" s="55"/>
      <c r="FE2" s="55"/>
      <c r="FF2" s="55"/>
      <c r="FG2" s="55"/>
      <c r="FH2" s="55"/>
      <c r="FI2" s="55"/>
      <c r="FJ2" s="55"/>
      <c r="FK2" s="55"/>
      <c r="FL2" s="55"/>
      <c r="FM2" s="55"/>
      <c r="FN2" s="55"/>
      <c r="FO2" s="55"/>
      <c r="FP2" s="55"/>
      <c r="FQ2" s="55"/>
      <c r="FR2" s="55"/>
      <c r="FS2" s="55"/>
      <c r="FT2" s="55"/>
      <c r="FU2" s="55"/>
      <c r="FV2" s="55"/>
      <c r="FW2" s="55"/>
      <c r="FX2" s="55"/>
      <c r="FY2" s="55"/>
      <c r="FZ2" s="55"/>
      <c r="GA2" s="55"/>
      <c r="GB2" s="55"/>
      <c r="GC2" s="55"/>
      <c r="GD2" s="55"/>
      <c r="GE2" s="55"/>
      <c r="GF2" s="55"/>
      <c r="GG2" s="55"/>
      <c r="GH2" s="55"/>
      <c r="GI2" s="55"/>
      <c r="GJ2" s="55"/>
      <c r="GK2" s="55"/>
      <c r="GL2" s="55"/>
      <c r="GM2" s="55"/>
      <c r="GN2" s="55"/>
      <c r="GO2" s="55"/>
      <c r="GP2" s="55"/>
      <c r="GQ2" s="55"/>
      <c r="GR2" s="55"/>
      <c r="GS2" s="55"/>
      <c r="GT2" s="55"/>
      <c r="GU2" s="55"/>
      <c r="GV2" s="55"/>
      <c r="GW2" s="55"/>
      <c r="GX2" s="55"/>
      <c r="GY2" s="55"/>
      <c r="GZ2" s="55"/>
      <c r="HA2" s="55"/>
      <c r="HB2" s="55"/>
      <c r="HC2" s="55"/>
      <c r="HD2" s="55"/>
      <c r="HE2" s="55"/>
      <c r="HF2" s="55"/>
      <c r="HG2" s="55"/>
      <c r="HH2" s="55"/>
      <c r="HI2" s="55"/>
      <c r="HJ2" s="55"/>
      <c r="HK2" s="55"/>
      <c r="HL2" s="55"/>
      <c r="HM2" s="55"/>
      <c r="HN2" s="55"/>
      <c r="HO2" s="55"/>
      <c r="HP2" s="55"/>
      <c r="HQ2" s="55"/>
      <c r="HR2" s="55"/>
      <c r="HS2" s="55"/>
      <c r="HT2" s="55"/>
      <c r="HU2" s="55"/>
      <c r="HV2" s="55"/>
      <c r="HW2" s="55"/>
      <c r="HX2" s="55"/>
      <c r="HY2" s="55"/>
      <c r="HZ2" s="55"/>
      <c r="IA2" s="55"/>
      <c r="IB2" s="55"/>
      <c r="IC2" s="55"/>
      <c r="ID2" s="55"/>
      <c r="IE2" s="55"/>
      <c r="IF2" s="55"/>
      <c r="IG2" s="55"/>
      <c r="IH2" s="55"/>
      <c r="II2" s="55"/>
      <c r="IJ2" s="55"/>
      <c r="IK2" s="55"/>
      <c r="IL2" s="55"/>
      <c r="IM2" s="55"/>
      <c r="IN2" s="55"/>
      <c r="IO2" s="55"/>
      <c r="IP2" s="55"/>
      <c r="IQ2" s="55"/>
      <c r="IR2" s="55"/>
      <c r="IS2" s="55"/>
      <c r="IT2" s="55"/>
      <c r="IU2" s="55"/>
      <c r="IV2" s="55"/>
      <c r="IW2" s="55"/>
      <c r="IX2" s="55"/>
      <c r="IY2" s="55"/>
      <c r="IZ2" s="55"/>
      <c r="JA2" s="55"/>
      <c r="JB2" s="55"/>
      <c r="JC2" s="55"/>
      <c r="JD2" s="55"/>
      <c r="JE2" s="55"/>
      <c r="JF2" s="55"/>
      <c r="JG2" s="55"/>
      <c r="JH2" s="55"/>
      <c r="JI2" s="55"/>
      <c r="JJ2" s="55"/>
      <c r="JK2" s="55"/>
      <c r="JL2" s="55"/>
      <c r="JM2" s="55"/>
      <c r="JN2" s="55"/>
      <c r="JO2" s="55"/>
      <c r="JP2" s="55"/>
      <c r="JQ2" s="55"/>
      <c r="JR2" s="55"/>
      <c r="JS2" s="55"/>
      <c r="JT2" s="55"/>
      <c r="JU2" s="55"/>
      <c r="JV2" s="55"/>
      <c r="JW2" s="55"/>
      <c r="JX2" s="55"/>
      <c r="JY2" s="55"/>
      <c r="JZ2" s="55"/>
      <c r="KA2" s="55"/>
      <c r="KB2" s="55"/>
      <c r="KC2" s="55"/>
      <c r="KD2" s="55"/>
      <c r="KE2" s="55"/>
      <c r="KF2" s="55"/>
      <c r="KG2" s="55"/>
      <c r="KH2" s="55"/>
      <c r="KI2" s="55"/>
      <c r="KJ2" s="55"/>
      <c r="KK2" s="55"/>
      <c r="KL2" s="55"/>
      <c r="KM2" s="55"/>
      <c r="KN2" s="55"/>
      <c r="KO2" s="55"/>
      <c r="KP2" s="55"/>
      <c r="KQ2" s="55"/>
      <c r="KR2" s="55"/>
      <c r="KS2" s="55"/>
      <c r="KT2" s="55"/>
      <c r="KU2" s="55"/>
      <c r="KV2" s="55"/>
      <c r="KW2" s="55"/>
      <c r="KX2" s="55"/>
      <c r="KY2" s="55"/>
      <c r="KZ2" s="55"/>
      <c r="LA2" s="55"/>
      <c r="LB2" s="55"/>
      <c r="LC2" s="55"/>
      <c r="LD2" s="55"/>
      <c r="LE2" s="55"/>
      <c r="LF2" s="55"/>
      <c r="LG2" s="55"/>
      <c r="LH2" s="55"/>
      <c r="LI2" s="55"/>
      <c r="LJ2" s="55"/>
      <c r="LK2" s="55"/>
      <c r="LL2" s="55"/>
      <c r="LM2" s="55"/>
      <c r="LN2" s="55"/>
      <c r="LO2" s="55"/>
      <c r="LP2" s="55"/>
      <c r="LQ2" s="55"/>
      <c r="LR2" s="55"/>
      <c r="LS2" s="55"/>
      <c r="LT2" s="55"/>
      <c r="LU2" s="55"/>
      <c r="LV2" s="55"/>
      <c r="LW2" s="55"/>
      <c r="LX2" s="55"/>
      <c r="LY2" s="55"/>
      <c r="LZ2" s="55"/>
      <c r="MA2" s="55"/>
      <c r="MB2" s="55"/>
      <c r="MC2" s="55"/>
      <c r="MD2" s="55"/>
      <c r="ME2" s="55"/>
      <c r="MF2" s="55"/>
      <c r="MG2" s="55"/>
      <c r="MH2" s="55"/>
      <c r="MI2" s="55"/>
      <c r="MJ2" s="55"/>
      <c r="MK2" s="55"/>
      <c r="ML2" s="55"/>
      <c r="MM2" s="55"/>
      <c r="MN2" s="55"/>
      <c r="MO2" s="55"/>
      <c r="MP2" s="55"/>
      <c r="MQ2" s="55"/>
      <c r="MR2" s="55"/>
      <c r="MS2" s="55"/>
      <c r="MT2" s="55"/>
      <c r="MU2" s="55"/>
      <c r="MV2" s="55"/>
      <c r="MW2" s="55"/>
      <c r="MX2" s="55"/>
      <c r="MY2" s="55"/>
      <c r="MZ2" s="55"/>
      <c r="NA2" s="55"/>
      <c r="NB2" s="55"/>
      <c r="NC2" s="55"/>
      <c r="ND2" s="55"/>
      <c r="NE2" s="55"/>
      <c r="NF2" s="55"/>
      <c r="NG2" s="55"/>
      <c r="NH2" s="55"/>
      <c r="NI2" s="55"/>
      <c r="NJ2" s="55"/>
      <c r="NK2" s="55"/>
      <c r="NL2" s="55"/>
      <c r="NM2" s="55"/>
      <c r="NN2" s="55"/>
      <c r="NO2" s="55"/>
      <c r="NP2" s="55"/>
      <c r="NQ2" s="55"/>
      <c r="NR2" s="55"/>
      <c r="NS2" s="55"/>
      <c r="NT2" s="55"/>
      <c r="NU2" s="55"/>
      <c r="NV2" s="55"/>
      <c r="NW2" s="55"/>
      <c r="NX2" s="55"/>
      <c r="NY2" s="55"/>
      <c r="NZ2" s="55"/>
      <c r="OA2" s="55"/>
      <c r="OB2" s="55"/>
      <c r="OC2" s="55"/>
      <c r="OD2" s="55"/>
      <c r="OE2" s="55"/>
      <c r="OF2" s="55"/>
      <c r="OG2" s="55"/>
      <c r="OH2" s="55"/>
      <c r="OI2" s="55"/>
      <c r="OJ2" s="55"/>
      <c r="OK2" s="55"/>
      <c r="OL2" s="55"/>
      <c r="OM2" s="55"/>
      <c r="ON2" s="55"/>
      <c r="OO2" s="55"/>
      <c r="OP2" s="55"/>
      <c r="OQ2" s="55"/>
      <c r="OR2" s="55"/>
      <c r="OS2" s="55"/>
      <c r="OT2" s="55"/>
      <c r="OU2" s="55"/>
      <c r="OV2" s="55"/>
      <c r="OW2" s="55"/>
      <c r="OX2" s="55"/>
      <c r="OY2" s="55"/>
      <c r="OZ2" s="55"/>
      <c r="PA2" s="55"/>
      <c r="PB2" s="55"/>
      <c r="PC2" s="55"/>
      <c r="PD2" s="55"/>
      <c r="PE2" s="55"/>
      <c r="PF2" s="55"/>
      <c r="PG2" s="55"/>
      <c r="PH2" s="55"/>
      <c r="PI2" s="55"/>
      <c r="PJ2" s="55"/>
      <c r="PK2" s="55"/>
      <c r="PL2" s="55"/>
      <c r="PM2" s="55"/>
      <c r="PN2" s="55"/>
      <c r="PO2" s="55"/>
      <c r="PP2" s="55"/>
      <c r="PQ2" s="55"/>
      <c r="PR2" s="55"/>
      <c r="PS2" s="55"/>
      <c r="PT2" s="55"/>
      <c r="PU2" s="55"/>
      <c r="PV2" s="55"/>
      <c r="PW2" s="55"/>
      <c r="PX2" s="55"/>
      <c r="PY2" s="55"/>
      <c r="PZ2" s="55"/>
      <c r="QA2" s="55"/>
      <c r="QB2" s="55"/>
      <c r="QC2" s="55"/>
      <c r="QD2" s="55"/>
      <c r="QE2" s="55"/>
      <c r="QF2" s="55"/>
      <c r="QG2" s="55"/>
      <c r="QH2" s="55"/>
      <c r="QI2" s="55"/>
      <c r="QJ2" s="55"/>
      <c r="QK2" s="55"/>
      <c r="QL2" s="55"/>
      <c r="QM2" s="55"/>
      <c r="QN2" s="55"/>
      <c r="QO2" s="55"/>
      <c r="QP2" s="55"/>
      <c r="QQ2" s="55"/>
      <c r="QR2" s="55"/>
      <c r="QS2" s="55"/>
      <c r="QT2" s="55"/>
      <c r="QU2" s="55"/>
      <c r="QV2" s="55"/>
      <c r="QW2" s="55"/>
      <c r="QX2" s="55"/>
      <c r="QY2" s="55"/>
      <c r="QZ2" s="55"/>
      <c r="RA2" s="55"/>
      <c r="RB2" s="55"/>
      <c r="RC2" s="55"/>
      <c r="RD2" s="55"/>
      <c r="RE2" s="55"/>
      <c r="RF2" s="55"/>
      <c r="RG2" s="55"/>
      <c r="RH2" s="55"/>
      <c r="RI2" s="55"/>
      <c r="RJ2" s="55"/>
      <c r="RK2" s="55"/>
      <c r="RL2" s="55"/>
      <c r="RM2" s="55"/>
      <c r="RN2" s="55"/>
      <c r="RO2" s="55"/>
      <c r="RP2" s="55"/>
      <c r="RQ2" s="55"/>
      <c r="RR2" s="55"/>
      <c r="RS2" s="55"/>
      <c r="RT2" s="55"/>
      <c r="RU2" s="55"/>
      <c r="RV2" s="55"/>
      <c r="RW2" s="55"/>
      <c r="RX2" s="55"/>
      <c r="RY2" s="55"/>
      <c r="RZ2" s="55"/>
      <c r="SA2" s="55"/>
      <c r="SB2" s="55"/>
      <c r="SC2" s="55"/>
      <c r="SD2" s="55"/>
      <c r="SE2" s="55"/>
      <c r="SF2" s="55"/>
      <c r="SG2" s="55"/>
      <c r="SH2" s="55"/>
      <c r="SI2" s="55"/>
      <c r="SJ2" s="55"/>
      <c r="SK2" s="55"/>
      <c r="SL2" s="55"/>
      <c r="SM2" s="55"/>
      <c r="SN2" s="55"/>
      <c r="SO2" s="55"/>
      <c r="SP2" s="55"/>
      <c r="SQ2" s="55"/>
      <c r="SR2" s="55"/>
      <c r="SS2" s="55"/>
      <c r="ST2" s="55"/>
      <c r="SU2" s="55"/>
      <c r="SV2" s="55"/>
      <c r="SW2" s="55"/>
      <c r="SX2" s="55"/>
      <c r="SY2" s="55"/>
      <c r="SZ2" s="55"/>
      <c r="TA2" s="55"/>
      <c r="TB2" s="55"/>
      <c r="TC2" s="55"/>
      <c r="TD2" s="55"/>
      <c r="TE2" s="55"/>
      <c r="TF2" s="55"/>
      <c r="TG2" s="55"/>
      <c r="TH2" s="55"/>
      <c r="TI2" s="55"/>
      <c r="TJ2" s="55"/>
      <c r="TK2" s="55"/>
      <c r="TL2" s="55"/>
      <c r="TM2" s="55"/>
      <c r="TN2" s="55"/>
      <c r="TO2" s="55"/>
      <c r="TP2" s="55"/>
      <c r="TQ2" s="55"/>
      <c r="TR2" s="55"/>
      <c r="TS2" s="55"/>
      <c r="TT2" s="55"/>
      <c r="TU2" s="55"/>
      <c r="TV2" s="55"/>
      <c r="TW2" s="55"/>
      <c r="TX2" s="55"/>
      <c r="TY2" s="55"/>
      <c r="TZ2" s="55"/>
      <c r="UA2" s="55"/>
      <c r="UB2" s="55"/>
      <c r="UC2" s="55"/>
      <c r="UD2" s="55"/>
      <c r="UE2" s="55"/>
      <c r="UF2" s="55"/>
      <c r="UG2" s="55"/>
      <c r="UH2" s="55"/>
      <c r="UI2" s="55"/>
      <c r="UJ2" s="55"/>
      <c r="UK2" s="55"/>
      <c r="UL2" s="55"/>
      <c r="UM2" s="55"/>
      <c r="UN2" s="55"/>
      <c r="UO2" s="55"/>
      <c r="UP2" s="55"/>
      <c r="UQ2" s="55"/>
      <c r="UR2" s="55"/>
      <c r="US2" s="55"/>
      <c r="UT2" s="55"/>
      <c r="UU2" s="55"/>
      <c r="UV2" s="55"/>
      <c r="UW2" s="55"/>
      <c r="UX2" s="55"/>
      <c r="UY2" s="55"/>
      <c r="UZ2" s="55"/>
      <c r="VA2" s="55"/>
      <c r="VB2" s="55"/>
      <c r="VC2" s="55"/>
      <c r="VD2" s="55"/>
      <c r="VE2" s="55"/>
      <c r="VF2" s="55"/>
      <c r="VG2" s="55"/>
      <c r="VH2" s="55"/>
      <c r="VI2" s="55"/>
      <c r="VJ2" s="55"/>
      <c r="VK2" s="55"/>
      <c r="VL2" s="55"/>
      <c r="VM2" s="55"/>
      <c r="VN2" s="55"/>
      <c r="VO2" s="55"/>
      <c r="VP2" s="55"/>
      <c r="VQ2" s="55"/>
      <c r="VR2" s="55"/>
      <c r="VS2" s="55"/>
      <c r="VT2" s="55"/>
      <c r="VU2" s="55"/>
      <c r="VV2" s="55"/>
      <c r="VW2" s="55"/>
      <c r="VX2" s="55"/>
      <c r="VY2" s="55"/>
      <c r="VZ2" s="55"/>
      <c r="WA2" s="55"/>
      <c r="WB2" s="55"/>
      <c r="WC2" s="55"/>
      <c r="WD2" s="55"/>
      <c r="WE2" s="55"/>
      <c r="WF2" s="55"/>
      <c r="WG2" s="55"/>
      <c r="WH2" s="55"/>
      <c r="WI2" s="55"/>
      <c r="WJ2" s="55"/>
      <c r="WK2" s="55"/>
      <c r="WL2" s="55"/>
      <c r="WM2" s="55"/>
      <c r="WN2" s="55"/>
      <c r="WO2" s="55"/>
      <c r="WP2" s="55"/>
      <c r="WQ2" s="55"/>
      <c r="WR2" s="55"/>
      <c r="WS2" s="55"/>
      <c r="WT2" s="55"/>
      <c r="WU2" s="55"/>
      <c r="WV2" s="55"/>
      <c r="WW2" s="55"/>
      <c r="WX2" s="55"/>
      <c r="WY2" s="55"/>
      <c r="WZ2" s="55"/>
      <c r="XA2" s="55"/>
      <c r="XB2" s="55"/>
      <c r="XC2" s="55"/>
      <c r="XD2" s="55"/>
      <c r="XE2" s="55"/>
      <c r="XF2" s="55"/>
      <c r="XG2" s="55"/>
      <c r="XH2" s="55"/>
      <c r="XI2" s="55"/>
      <c r="XJ2" s="55"/>
      <c r="XK2" s="55"/>
      <c r="XL2" s="55"/>
      <c r="XM2" s="55"/>
      <c r="XN2" s="55"/>
      <c r="XO2" s="55"/>
      <c r="XP2" s="55"/>
      <c r="XQ2" s="55"/>
      <c r="XR2" s="55"/>
      <c r="XS2" s="55"/>
      <c r="XT2" s="55"/>
      <c r="XU2" s="55"/>
      <c r="XV2" s="55"/>
      <c r="XW2" s="55"/>
      <c r="XX2" s="55"/>
      <c r="XY2" s="55"/>
      <c r="XZ2" s="55"/>
      <c r="YA2" s="55"/>
      <c r="YB2" s="55"/>
      <c r="YC2" s="55"/>
      <c r="YD2" s="55"/>
      <c r="YE2" s="55"/>
      <c r="YF2" s="55"/>
      <c r="YG2" s="55"/>
      <c r="YH2" s="55"/>
      <c r="YI2" s="55"/>
      <c r="YJ2" s="55"/>
      <c r="YK2" s="55"/>
      <c r="YL2" s="55"/>
      <c r="YM2" s="55"/>
      <c r="YN2" s="55"/>
      <c r="YO2" s="55"/>
      <c r="YP2" s="55"/>
      <c r="YQ2" s="55"/>
      <c r="YR2" s="55"/>
      <c r="YS2" s="55"/>
      <c r="YT2" s="55"/>
      <c r="YU2" s="55"/>
      <c r="YV2" s="55"/>
      <c r="YW2" s="55"/>
      <c r="YX2" s="55"/>
      <c r="YY2" s="55"/>
      <c r="YZ2" s="55"/>
      <c r="ZA2" s="55"/>
      <c r="ZB2" s="55"/>
      <c r="ZC2" s="55"/>
      <c r="ZD2" s="55"/>
      <c r="ZE2" s="55"/>
      <c r="ZF2" s="55"/>
      <c r="ZG2" s="55"/>
      <c r="ZH2" s="55"/>
      <c r="ZI2" s="55"/>
      <c r="ZJ2" s="55"/>
      <c r="ZK2" s="55"/>
      <c r="ZL2" s="55"/>
      <c r="ZM2" s="55"/>
      <c r="ZN2" s="55"/>
      <c r="ZO2" s="55"/>
      <c r="ZP2" s="55"/>
      <c r="ZQ2" s="55"/>
      <c r="ZR2" s="55"/>
      <c r="ZS2" s="55"/>
      <c r="ZT2" s="55"/>
      <c r="ZU2" s="55"/>
      <c r="ZV2" s="55"/>
      <c r="ZW2" s="55"/>
      <c r="ZX2" s="55"/>
      <c r="ZY2" s="55"/>
      <c r="ZZ2" s="55"/>
      <c r="AAA2" s="55"/>
      <c r="AAB2" s="55"/>
      <c r="AAC2" s="55"/>
      <c r="AAD2" s="55"/>
      <c r="AAE2" s="55"/>
      <c r="AAF2" s="55"/>
      <c r="AAG2" s="55"/>
      <c r="AAH2" s="55"/>
      <c r="AAI2" s="55"/>
      <c r="AAJ2" s="55"/>
      <c r="AAK2" s="55"/>
      <c r="AAL2" s="55"/>
      <c r="AAM2" s="55"/>
      <c r="AAN2" s="55"/>
      <c r="AAO2" s="55"/>
      <c r="AAP2" s="55"/>
      <c r="AAQ2" s="55"/>
      <c r="AAR2" s="55"/>
      <c r="AAS2" s="55"/>
      <c r="AAT2" s="55"/>
      <c r="AAU2" s="55"/>
      <c r="AAV2" s="55"/>
      <c r="AAW2" s="55"/>
      <c r="AAX2" s="55"/>
      <c r="AAY2" s="55"/>
      <c r="AAZ2" s="55"/>
      <c r="ABA2" s="55"/>
      <c r="ABB2" s="55"/>
      <c r="ABC2" s="55"/>
      <c r="ABD2" s="55"/>
      <c r="ABE2" s="55"/>
      <c r="ABF2" s="55"/>
      <c r="ABG2" s="55"/>
      <c r="ABH2" s="55"/>
      <c r="ABI2" s="55"/>
      <c r="ABJ2" s="55"/>
      <c r="ABK2" s="55"/>
      <c r="ABL2" s="55"/>
      <c r="ABM2" s="55"/>
      <c r="ABN2" s="55"/>
      <c r="ABO2" s="55"/>
      <c r="ABP2" s="55"/>
      <c r="ABQ2" s="55"/>
      <c r="ABR2" s="55"/>
      <c r="ABS2" s="55"/>
      <c r="ABT2" s="55"/>
      <c r="ABU2" s="55"/>
      <c r="ABV2" s="55"/>
      <c r="ABW2" s="55"/>
      <c r="ABX2" s="55"/>
      <c r="ABY2" s="55"/>
      <c r="ABZ2" s="55"/>
      <c r="ACA2" s="55"/>
      <c r="ACB2" s="55"/>
      <c r="ACC2" s="55"/>
      <c r="ACD2" s="55"/>
      <c r="ACE2" s="55"/>
      <c r="ACF2" s="55"/>
      <c r="ACG2" s="55"/>
      <c r="ACH2" s="55"/>
      <c r="ACI2" s="55"/>
      <c r="ACJ2" s="55"/>
      <c r="ACK2" s="55"/>
      <c r="ACL2" s="55"/>
      <c r="ACM2" s="55"/>
      <c r="ACN2" s="55"/>
      <c r="ACO2" s="55"/>
      <c r="ACP2" s="55"/>
      <c r="ACQ2" s="55"/>
      <c r="ACR2" s="55"/>
      <c r="ACS2" s="55"/>
      <c r="ACT2" s="55"/>
      <c r="ACU2" s="55"/>
      <c r="ACV2" s="55"/>
      <c r="ACW2" s="55"/>
      <c r="ACX2" s="55"/>
      <c r="ACY2" s="55"/>
      <c r="ACZ2" s="55"/>
      <c r="ADA2" s="55"/>
      <c r="ADB2" s="55"/>
      <c r="ADC2" s="55"/>
      <c r="ADD2" s="55"/>
      <c r="ADE2" s="55"/>
      <c r="ADF2" s="55"/>
      <c r="ADG2" s="55"/>
      <c r="ADH2" s="55"/>
      <c r="ADI2" s="55"/>
      <c r="ADJ2" s="55"/>
      <c r="ADK2" s="55"/>
      <c r="ADL2" s="55"/>
      <c r="ADM2" s="55"/>
      <c r="ADN2" s="55"/>
      <c r="ADO2" s="55"/>
      <c r="ADP2" s="55"/>
      <c r="ADQ2" s="55"/>
      <c r="ADR2" s="55"/>
      <c r="ADS2" s="55"/>
      <c r="ADT2" s="55"/>
      <c r="ADU2" s="55"/>
      <c r="ADV2" s="55"/>
      <c r="ADW2" s="55"/>
      <c r="ADX2" s="55"/>
      <c r="ADY2" s="55"/>
      <c r="ADZ2" s="55"/>
      <c r="AEA2" s="55"/>
      <c r="AEB2" s="55"/>
      <c r="AEC2" s="55"/>
      <c r="AED2" s="55"/>
      <c r="AEE2" s="55"/>
      <c r="AEF2" s="55"/>
      <c r="AEG2" s="55"/>
      <c r="AEH2" s="55"/>
      <c r="AEI2" s="55"/>
      <c r="AEJ2" s="55"/>
      <c r="AEK2" s="55"/>
      <c r="AEL2" s="55"/>
      <c r="AEM2" s="55"/>
      <c r="AEN2" s="55"/>
      <c r="AEO2" s="55"/>
      <c r="AEP2" s="55"/>
      <c r="AEQ2" s="55"/>
      <c r="AER2" s="55"/>
      <c r="AES2" s="55"/>
      <c r="AET2" s="55"/>
      <c r="AEU2" s="55"/>
      <c r="AEV2" s="55"/>
      <c r="AEW2" s="55"/>
      <c r="AEX2" s="55"/>
      <c r="AEY2" s="55"/>
      <c r="AEZ2" s="55"/>
      <c r="AFA2" s="55"/>
      <c r="AFB2" s="55"/>
      <c r="AFC2" s="55"/>
      <c r="AFD2" s="55"/>
      <c r="AFE2" s="55"/>
      <c r="AFF2" s="55"/>
      <c r="AFG2" s="55"/>
      <c r="AFH2" s="55"/>
      <c r="AFI2" s="55"/>
      <c r="AFJ2" s="55"/>
      <c r="AFK2" s="55"/>
      <c r="AFL2" s="55"/>
      <c r="AFM2" s="55"/>
      <c r="AFN2" s="55"/>
      <c r="AFO2" s="55"/>
      <c r="AFP2" s="55"/>
      <c r="AFQ2" s="55"/>
      <c r="AFR2" s="55"/>
      <c r="AFS2" s="55"/>
      <c r="AFT2" s="55"/>
      <c r="AFU2" s="55"/>
      <c r="AFV2" s="55"/>
      <c r="AFW2" s="55"/>
      <c r="AFX2" s="55"/>
      <c r="AFY2" s="55"/>
      <c r="AFZ2" s="55"/>
      <c r="AGA2" s="55"/>
      <c r="AGB2" s="55"/>
      <c r="AGC2" s="55"/>
      <c r="AGD2" s="55"/>
      <c r="AGE2" s="55"/>
      <c r="AGF2" s="55"/>
      <c r="AGG2" s="55"/>
      <c r="AGH2" s="55"/>
      <c r="AGI2" s="55"/>
      <c r="AGJ2" s="55"/>
      <c r="AGK2" s="55"/>
      <c r="AGL2" s="55"/>
      <c r="AGM2" s="55"/>
      <c r="AGN2" s="55"/>
      <c r="AGO2" s="55"/>
      <c r="AGP2" s="55"/>
      <c r="AGQ2" s="55"/>
      <c r="AGR2" s="55"/>
      <c r="AGS2" s="55"/>
      <c r="AGT2" s="55"/>
      <c r="AGU2" s="55"/>
      <c r="AGV2" s="55"/>
      <c r="AGW2" s="55"/>
      <c r="AGX2" s="55"/>
      <c r="AGY2" s="55"/>
      <c r="AGZ2" s="55"/>
      <c r="AHA2" s="55"/>
      <c r="AHB2" s="55"/>
      <c r="AHC2" s="55"/>
      <c r="AHD2" s="55"/>
      <c r="AHE2" s="55"/>
      <c r="AHF2" s="55"/>
      <c r="AHG2" s="55"/>
      <c r="AHH2" s="55"/>
      <c r="AHI2" s="55"/>
      <c r="AHJ2" s="55"/>
      <c r="AHK2" s="55"/>
      <c r="AHL2" s="55"/>
      <c r="AHM2" s="55"/>
      <c r="AHN2" s="55"/>
      <c r="AHO2" s="55"/>
      <c r="AHP2" s="55"/>
      <c r="AHQ2" s="55"/>
      <c r="AHR2" s="55"/>
      <c r="AHS2" s="55"/>
      <c r="AHT2" s="55"/>
      <c r="AHU2" s="55"/>
      <c r="AHV2" s="55"/>
      <c r="AHW2" s="55"/>
      <c r="AHX2" s="55"/>
      <c r="AHY2" s="55"/>
      <c r="AHZ2" s="55"/>
      <c r="AIA2" s="55"/>
      <c r="AIB2" s="55"/>
      <c r="AIC2" s="55"/>
      <c r="AID2" s="55"/>
      <c r="AIE2" s="55"/>
      <c r="AIF2" s="55"/>
      <c r="AIG2" s="55"/>
      <c r="AIH2" s="55"/>
      <c r="AII2" s="55"/>
      <c r="AIJ2" s="55"/>
      <c r="AIK2" s="55"/>
      <c r="AIL2" s="55"/>
      <c r="AIM2" s="55"/>
      <c r="AIN2" s="55"/>
      <c r="AIO2" s="55"/>
      <c r="AIP2" s="55"/>
      <c r="AIQ2" s="55"/>
      <c r="AIR2" s="55"/>
      <c r="AIS2" s="55"/>
      <c r="AIT2" s="55"/>
      <c r="AIU2" s="55"/>
      <c r="AIV2" s="55"/>
      <c r="AIW2" s="55"/>
      <c r="AIX2" s="55"/>
      <c r="AIY2" s="55"/>
      <c r="AIZ2" s="55"/>
      <c r="AJA2" s="55"/>
      <c r="AJB2" s="55"/>
      <c r="AJC2" s="55"/>
      <c r="AJD2" s="55"/>
      <c r="AJE2" s="55"/>
      <c r="AJF2" s="55"/>
      <c r="AJG2" s="55"/>
      <c r="AJH2" s="55"/>
      <c r="AJI2" s="55"/>
      <c r="AJJ2" s="55"/>
      <c r="AJK2" s="55"/>
      <c r="AJL2" s="55"/>
      <c r="AJM2" s="55"/>
      <c r="AJN2" s="55"/>
      <c r="AJO2" s="55"/>
      <c r="AJP2" s="55"/>
      <c r="AJQ2" s="55"/>
      <c r="AJR2" s="55"/>
      <c r="AJS2" s="55"/>
      <c r="AJT2" s="55"/>
      <c r="AJU2" s="55"/>
      <c r="AJV2" s="55"/>
      <c r="AJW2" s="55"/>
      <c r="AJX2" s="55"/>
      <c r="AJY2" s="55"/>
      <c r="AJZ2" s="55"/>
      <c r="AKA2" s="55"/>
      <c r="AKB2" s="55"/>
      <c r="AKC2" s="55"/>
      <c r="AKD2" s="55"/>
      <c r="AKE2" s="55"/>
      <c r="AKF2" s="55"/>
      <c r="AKG2" s="55"/>
      <c r="AKH2" s="55"/>
      <c r="AKI2" s="55"/>
      <c r="AKJ2" s="55"/>
      <c r="AKK2" s="55"/>
      <c r="AKL2" s="55"/>
      <c r="AKM2" s="55"/>
      <c r="AKN2" s="55"/>
      <c r="AKO2" s="55"/>
      <c r="AKP2" s="55"/>
      <c r="AKQ2" s="55"/>
      <c r="AKR2" s="55"/>
      <c r="AKS2" s="55"/>
      <c r="AKT2" s="55"/>
      <c r="AKU2" s="55"/>
      <c r="AKV2" s="55"/>
      <c r="AKW2" s="55"/>
      <c r="AKX2" s="55"/>
      <c r="AKY2" s="55"/>
      <c r="AKZ2" s="55"/>
      <c r="ALA2" s="55"/>
      <c r="ALB2" s="55"/>
      <c r="ALC2" s="55"/>
      <c r="ALD2" s="55"/>
      <c r="ALE2" s="55"/>
      <c r="ALF2" s="55"/>
      <c r="ALG2" s="55"/>
      <c r="ALH2" s="55"/>
      <c r="ALI2" s="55"/>
      <c r="ALJ2" s="55"/>
      <c r="ALK2" s="55"/>
      <c r="ALL2" s="55"/>
      <c r="ALM2" s="55"/>
      <c r="ALN2" s="55"/>
      <c r="ALO2" s="55"/>
      <c r="ALP2" s="55"/>
      <c r="ALQ2" s="55"/>
      <c r="ALR2" s="55"/>
      <c r="ALS2" s="55"/>
      <c r="ALT2" s="55"/>
      <c r="ALU2" s="55"/>
      <c r="ALV2" s="55"/>
      <c r="ALW2" s="55"/>
      <c r="ALX2" s="55"/>
      <c r="ALY2" s="55"/>
      <c r="ALZ2" s="55"/>
      <c r="AMA2" s="55"/>
      <c r="AMB2" s="55"/>
      <c r="AMC2" s="55"/>
      <c r="AMD2" s="55"/>
      <c r="AME2" s="55"/>
      <c r="AMF2" s="55"/>
      <c r="AMG2" s="55"/>
      <c r="AMH2" s="55"/>
      <c r="AMI2" s="55"/>
      <c r="AMJ2" s="55"/>
      <c r="AMK2" s="55"/>
      <c r="AML2" s="55"/>
      <c r="AMM2" s="55"/>
      <c r="AMN2" s="55"/>
      <c r="AMO2" s="55"/>
      <c r="AMP2" s="55"/>
      <c r="AMQ2" s="55"/>
      <c r="AMR2" s="55"/>
      <c r="AMS2" s="55"/>
      <c r="AMT2" s="55"/>
      <c r="AMU2" s="55"/>
      <c r="AMV2" s="55"/>
      <c r="AMW2" s="55"/>
      <c r="AMX2" s="55"/>
      <c r="AMY2" s="55"/>
      <c r="AMZ2" s="55"/>
      <c r="ANA2" s="55"/>
      <c r="ANB2" s="55"/>
      <c r="ANC2" s="55"/>
      <c r="AND2" s="55"/>
      <c r="ANE2" s="55"/>
      <c r="ANF2" s="55"/>
      <c r="ANG2" s="55"/>
      <c r="ANH2" s="55"/>
      <c r="ANI2" s="55"/>
      <c r="ANJ2" s="55"/>
      <c r="ANK2" s="55"/>
      <c r="ANL2" s="55"/>
      <c r="ANM2" s="55"/>
      <c r="ANN2" s="55"/>
      <c r="ANO2" s="55"/>
      <c r="ANP2" s="55"/>
      <c r="ANQ2" s="55"/>
      <c r="ANR2" s="55"/>
      <c r="ANS2" s="55"/>
      <c r="ANT2" s="55"/>
      <c r="ANU2" s="55"/>
      <c r="ANV2" s="55"/>
      <c r="ANW2" s="55"/>
      <c r="ANX2" s="55"/>
      <c r="ANY2" s="55"/>
      <c r="ANZ2" s="55"/>
      <c r="AOA2" s="55"/>
      <c r="AOB2" s="55"/>
      <c r="AOC2" s="55"/>
      <c r="AOD2" s="55"/>
      <c r="AOE2" s="55"/>
      <c r="AOF2" s="55"/>
      <c r="AOG2" s="55"/>
      <c r="AOH2" s="55"/>
      <c r="AOI2" s="55"/>
      <c r="AOJ2" s="55"/>
      <c r="AOK2" s="55"/>
      <c r="AOL2" s="55"/>
      <c r="AOM2" s="55"/>
      <c r="AON2" s="55"/>
      <c r="AOO2" s="55"/>
      <c r="AOP2" s="55"/>
      <c r="AOQ2" s="55"/>
      <c r="AOR2" s="55"/>
      <c r="AOS2" s="55"/>
      <c r="AOT2" s="55"/>
      <c r="AOU2" s="55"/>
      <c r="AOV2" s="55"/>
      <c r="AOW2" s="55"/>
      <c r="AOX2" s="55"/>
      <c r="AOY2" s="55"/>
      <c r="AOZ2" s="55"/>
      <c r="APA2" s="55"/>
      <c r="APB2" s="55"/>
      <c r="APC2" s="55"/>
      <c r="APD2" s="55"/>
      <c r="APE2" s="55"/>
      <c r="APF2" s="55"/>
      <c r="APG2" s="55"/>
      <c r="APH2" s="55"/>
      <c r="API2" s="55"/>
      <c r="APJ2" s="55"/>
      <c r="APK2" s="55"/>
      <c r="APL2" s="55"/>
      <c r="APM2" s="55"/>
      <c r="APN2" s="55"/>
      <c r="APO2" s="55"/>
      <c r="APP2" s="55"/>
      <c r="APQ2" s="55"/>
      <c r="APR2" s="55"/>
      <c r="APS2" s="55"/>
      <c r="APT2" s="55"/>
      <c r="APU2" s="55"/>
      <c r="APV2" s="55"/>
      <c r="APW2" s="55"/>
      <c r="APX2" s="55"/>
      <c r="APY2" s="55"/>
      <c r="APZ2" s="55"/>
      <c r="AQA2" s="55"/>
      <c r="AQB2" s="55"/>
      <c r="AQC2" s="55"/>
      <c r="AQD2" s="55"/>
      <c r="AQE2" s="55"/>
      <c r="AQF2" s="55"/>
      <c r="AQG2" s="55"/>
      <c r="AQH2" s="55"/>
      <c r="AQI2" s="55"/>
      <c r="AQJ2" s="55"/>
      <c r="AQK2" s="55"/>
      <c r="AQL2" s="55"/>
      <c r="AQM2" s="55"/>
      <c r="AQN2" s="55"/>
      <c r="AQO2" s="55"/>
      <c r="AQP2" s="55"/>
      <c r="AQQ2" s="55"/>
      <c r="AQR2" s="55"/>
      <c r="AQS2" s="55"/>
      <c r="AQT2" s="55"/>
      <c r="AQU2" s="55"/>
      <c r="AQV2" s="55"/>
      <c r="AQW2" s="55"/>
      <c r="AQX2" s="55"/>
      <c r="AQY2" s="55"/>
      <c r="AQZ2" s="55"/>
      <c r="ARA2" s="55"/>
      <c r="ARB2" s="55"/>
      <c r="ARC2" s="55"/>
      <c r="ARD2" s="55"/>
      <c r="ARE2" s="55"/>
      <c r="ARF2" s="55"/>
      <c r="ARG2" s="55"/>
      <c r="ARH2" s="55"/>
      <c r="ARI2" s="55"/>
      <c r="ARJ2" s="55"/>
      <c r="ARK2" s="55"/>
      <c r="ARL2" s="55"/>
      <c r="ARM2" s="55"/>
      <c r="ARN2" s="55"/>
      <c r="ARO2" s="55"/>
      <c r="ARP2" s="55"/>
      <c r="ARQ2" s="55"/>
      <c r="ARR2" s="55"/>
      <c r="ARS2" s="55"/>
      <c r="ART2" s="55"/>
      <c r="ARU2" s="55"/>
      <c r="ARV2" s="55"/>
      <c r="ARW2" s="55"/>
      <c r="ARX2" s="55"/>
      <c r="ARY2" s="55"/>
      <c r="ARZ2" s="55"/>
      <c r="ASA2" s="55"/>
      <c r="ASB2" s="55"/>
      <c r="ASC2" s="55"/>
      <c r="ASD2" s="55"/>
      <c r="ASE2" s="55"/>
      <c r="ASF2" s="55"/>
      <c r="ASG2" s="55"/>
      <c r="ASH2" s="55"/>
      <c r="ASI2" s="55"/>
      <c r="ASJ2" s="55"/>
      <c r="ASK2" s="55"/>
      <c r="ASL2" s="55"/>
      <c r="ASM2" s="55"/>
      <c r="ASN2" s="55"/>
      <c r="ASO2" s="55"/>
      <c r="ASP2" s="55"/>
      <c r="ASQ2" s="55"/>
      <c r="ASR2" s="55"/>
      <c r="ASS2" s="55"/>
      <c r="AST2" s="55"/>
      <c r="ASU2" s="55"/>
      <c r="ASV2" s="55"/>
      <c r="ASW2" s="55"/>
      <c r="ASX2" s="55"/>
      <c r="ASY2" s="55"/>
      <c r="ASZ2" s="55"/>
      <c r="ATA2" s="55"/>
      <c r="ATB2" s="55"/>
      <c r="ATC2" s="55"/>
      <c r="ATD2" s="55"/>
      <c r="ATE2" s="55"/>
      <c r="ATF2" s="55"/>
      <c r="ATG2" s="55"/>
      <c r="ATH2" s="55"/>
      <c r="ATI2" s="55"/>
      <c r="ATJ2" s="55"/>
      <c r="ATK2" s="55"/>
      <c r="ATL2" s="55"/>
      <c r="ATM2" s="55"/>
      <c r="ATN2" s="55"/>
      <c r="ATO2" s="55"/>
      <c r="ATP2" s="55"/>
      <c r="ATQ2" s="55"/>
      <c r="ATR2" s="55"/>
      <c r="ATS2" s="55"/>
      <c r="ATT2" s="55"/>
      <c r="ATU2" s="55"/>
      <c r="ATV2" s="55"/>
      <c r="ATW2" s="55"/>
      <c r="ATX2" s="55"/>
      <c r="ATY2" s="55"/>
      <c r="ATZ2" s="55"/>
      <c r="AUA2" s="55"/>
      <c r="AUB2" s="55"/>
      <c r="AUC2" s="55"/>
      <c r="AUD2" s="55"/>
      <c r="AUE2" s="55"/>
      <c r="AUF2" s="55"/>
      <c r="AUG2" s="55"/>
      <c r="AUH2" s="55"/>
      <c r="AUI2" s="55"/>
      <c r="AUJ2" s="55"/>
      <c r="AUK2" s="55"/>
      <c r="AUL2" s="55"/>
      <c r="AUM2" s="55"/>
      <c r="AUN2" s="55"/>
      <c r="AUO2" s="55"/>
      <c r="AUP2" s="55"/>
      <c r="AUQ2" s="55"/>
      <c r="AUR2" s="55"/>
      <c r="AUS2" s="55"/>
      <c r="AUT2" s="55"/>
      <c r="AUU2" s="55"/>
      <c r="AUV2" s="55"/>
      <c r="AUW2" s="55"/>
      <c r="AUX2" s="55"/>
      <c r="AUY2" s="55"/>
      <c r="AUZ2" s="55"/>
      <c r="AVA2" s="55"/>
      <c r="AVB2" s="55"/>
      <c r="AVC2" s="55"/>
      <c r="AVD2" s="55"/>
      <c r="AVE2" s="55"/>
      <c r="AVF2" s="55"/>
      <c r="AVG2" s="55"/>
      <c r="AVH2" s="55"/>
      <c r="AVI2" s="55"/>
      <c r="AVJ2" s="55"/>
      <c r="AVK2" s="55"/>
      <c r="AVL2" s="55"/>
      <c r="AVM2" s="55"/>
      <c r="AVN2" s="55"/>
      <c r="AVO2" s="55"/>
      <c r="AVP2" s="55"/>
      <c r="AVQ2" s="55"/>
      <c r="AVR2" s="55"/>
      <c r="AVS2" s="55"/>
      <c r="AVT2" s="55"/>
      <c r="AVU2" s="55"/>
      <c r="AVV2" s="55"/>
      <c r="AVW2" s="55"/>
      <c r="AVX2" s="55"/>
      <c r="AVY2" s="55"/>
      <c r="AVZ2" s="55"/>
      <c r="AWA2" s="55"/>
      <c r="AWB2" s="55"/>
      <c r="AWC2" s="55"/>
      <c r="AWD2" s="55"/>
      <c r="AWE2" s="55"/>
      <c r="AWF2" s="55"/>
      <c r="AWG2" s="55"/>
      <c r="AWH2" s="55"/>
      <c r="AWI2" s="55"/>
      <c r="AWJ2" s="55"/>
      <c r="AWK2" s="55"/>
      <c r="AWL2" s="55"/>
      <c r="AWM2" s="55"/>
      <c r="AWN2" s="55"/>
      <c r="AWO2" s="55"/>
      <c r="AWP2" s="55"/>
      <c r="AWQ2" s="55"/>
      <c r="AWR2" s="55"/>
      <c r="AWS2" s="55"/>
      <c r="AWT2" s="55"/>
      <c r="AWU2" s="55"/>
      <c r="AWV2" s="55"/>
      <c r="AWW2" s="55"/>
      <c r="AWX2" s="55"/>
      <c r="AWY2" s="55"/>
      <c r="AWZ2" s="55"/>
      <c r="AXA2" s="55"/>
      <c r="AXB2" s="55"/>
      <c r="AXC2" s="55"/>
      <c r="AXD2" s="55"/>
      <c r="AXE2" s="55"/>
      <c r="AXF2" s="55"/>
      <c r="AXG2" s="55"/>
      <c r="AXH2" s="55"/>
      <c r="AXI2" s="55"/>
      <c r="AXJ2" s="55"/>
      <c r="AXK2" s="55"/>
      <c r="AXL2" s="55"/>
      <c r="AXM2" s="55"/>
      <c r="AXN2" s="55"/>
      <c r="AXO2" s="55"/>
      <c r="AXP2" s="55"/>
      <c r="AXQ2" s="55"/>
      <c r="AXR2" s="55"/>
      <c r="AXS2" s="55"/>
      <c r="AXT2" s="55"/>
      <c r="AXU2" s="55"/>
      <c r="AXV2" s="55"/>
      <c r="AXW2" s="55"/>
      <c r="AXX2" s="55"/>
      <c r="AXY2" s="55"/>
      <c r="AXZ2" s="55"/>
      <c r="AYA2" s="55"/>
      <c r="AYB2" s="55"/>
      <c r="AYC2" s="55"/>
      <c r="AYD2" s="55"/>
      <c r="AYE2" s="55"/>
      <c r="AYF2" s="55"/>
      <c r="AYG2" s="55"/>
      <c r="AYH2" s="55"/>
      <c r="AYI2" s="55"/>
      <c r="AYJ2" s="55"/>
      <c r="AYK2" s="55"/>
      <c r="AYL2" s="55"/>
      <c r="AYM2" s="55"/>
      <c r="AYN2" s="55"/>
      <c r="AYO2" s="55"/>
      <c r="AYP2" s="55"/>
      <c r="AYQ2" s="55"/>
      <c r="AYR2" s="55"/>
      <c r="AYS2" s="55"/>
      <c r="AYT2" s="55"/>
      <c r="AYU2" s="55"/>
      <c r="AYV2" s="55"/>
      <c r="AYW2" s="55"/>
      <c r="AYX2" s="55"/>
      <c r="AYY2" s="55"/>
      <c r="AYZ2" s="55"/>
      <c r="AZA2" s="55"/>
      <c r="AZB2" s="55"/>
      <c r="AZC2" s="55"/>
      <c r="AZD2" s="55"/>
      <c r="AZE2" s="55"/>
      <c r="AZF2" s="55"/>
      <c r="AZG2" s="55"/>
      <c r="AZH2" s="55"/>
      <c r="AZI2" s="55"/>
      <c r="AZJ2" s="55"/>
      <c r="AZK2" s="55"/>
      <c r="AZL2" s="55"/>
      <c r="AZM2" s="55"/>
      <c r="AZN2" s="55"/>
      <c r="AZO2" s="55"/>
      <c r="AZP2" s="55"/>
      <c r="AZQ2" s="55"/>
      <c r="AZR2" s="55"/>
      <c r="AZS2" s="55"/>
      <c r="AZT2" s="55"/>
      <c r="AZU2" s="55"/>
      <c r="AZV2" s="55"/>
      <c r="AZW2" s="55"/>
      <c r="AZX2" s="55"/>
      <c r="AZY2" s="55"/>
      <c r="AZZ2" s="55"/>
      <c r="BAA2" s="55"/>
      <c r="BAB2" s="55"/>
      <c r="BAC2" s="55"/>
      <c r="BAD2" s="55"/>
      <c r="BAE2" s="55"/>
      <c r="BAF2" s="55"/>
      <c r="BAG2" s="55"/>
      <c r="BAH2" s="55"/>
      <c r="BAI2" s="55"/>
      <c r="BAJ2" s="55"/>
      <c r="BAK2" s="55"/>
      <c r="BAL2" s="55"/>
      <c r="BAM2" s="55"/>
      <c r="BAN2" s="55"/>
      <c r="BAO2" s="55"/>
      <c r="BAP2" s="55"/>
      <c r="BAQ2" s="55"/>
      <c r="BAR2" s="55"/>
      <c r="BAS2" s="55"/>
      <c r="BAT2" s="55"/>
      <c r="BAU2" s="55"/>
      <c r="BAV2" s="55"/>
      <c r="BAW2" s="55"/>
      <c r="BAX2" s="55"/>
      <c r="BAY2" s="55"/>
      <c r="BAZ2" s="55"/>
      <c r="BBA2" s="55"/>
      <c r="BBB2" s="55"/>
      <c r="BBC2" s="55"/>
      <c r="BBD2" s="55"/>
      <c r="BBE2" s="55"/>
      <c r="BBF2" s="55"/>
      <c r="BBG2" s="55"/>
      <c r="BBH2" s="55"/>
      <c r="BBI2" s="55"/>
      <c r="BBJ2" s="55"/>
      <c r="BBK2" s="55"/>
      <c r="BBL2" s="55"/>
      <c r="BBM2" s="55"/>
      <c r="BBN2" s="55"/>
      <c r="BBO2" s="55"/>
      <c r="BBP2" s="55"/>
      <c r="BBQ2" s="55"/>
      <c r="BBR2" s="55"/>
      <c r="BBS2" s="55"/>
      <c r="BBT2" s="55"/>
      <c r="BBU2" s="55"/>
      <c r="BBV2" s="55"/>
      <c r="BBW2" s="55"/>
      <c r="BBX2" s="55"/>
      <c r="BBY2" s="55"/>
      <c r="BBZ2" s="55"/>
      <c r="BCA2" s="55"/>
      <c r="BCB2" s="55"/>
      <c r="BCC2" s="55"/>
      <c r="BCD2" s="55"/>
      <c r="BCE2" s="55"/>
      <c r="BCF2" s="55"/>
      <c r="BCG2" s="55"/>
      <c r="BCH2" s="55"/>
      <c r="BCI2" s="55"/>
      <c r="BCJ2" s="55"/>
      <c r="BCK2" s="55"/>
      <c r="BCL2" s="55"/>
      <c r="BCM2" s="55"/>
      <c r="BCN2" s="55"/>
      <c r="BCO2" s="55"/>
      <c r="BCP2" s="55"/>
      <c r="BCQ2" s="55"/>
      <c r="BCR2" s="55"/>
      <c r="BCS2" s="55"/>
      <c r="BCT2" s="55"/>
      <c r="BCU2" s="55"/>
      <c r="BCV2" s="55"/>
      <c r="BCW2" s="55"/>
      <c r="BCX2" s="55"/>
      <c r="BCY2" s="55"/>
      <c r="BCZ2" s="55"/>
      <c r="BDA2" s="55"/>
      <c r="BDB2" s="55"/>
      <c r="BDC2" s="55"/>
      <c r="BDD2" s="55"/>
      <c r="BDE2" s="55"/>
      <c r="BDF2" s="55"/>
      <c r="BDG2" s="55"/>
      <c r="BDH2" s="55"/>
      <c r="BDI2" s="55"/>
      <c r="BDJ2" s="55"/>
      <c r="BDK2" s="55"/>
      <c r="BDL2" s="55"/>
      <c r="BDM2" s="55"/>
      <c r="BDN2" s="55"/>
      <c r="BDO2" s="55"/>
      <c r="BDP2" s="55"/>
      <c r="BDQ2" s="55"/>
      <c r="BDR2" s="55"/>
      <c r="BDS2" s="55"/>
      <c r="BDT2" s="55"/>
      <c r="BDU2" s="55"/>
      <c r="BDV2" s="55"/>
      <c r="BDW2" s="55"/>
      <c r="BDX2" s="55"/>
      <c r="BDY2" s="55"/>
      <c r="BDZ2" s="55"/>
      <c r="BEA2" s="55"/>
      <c r="BEB2" s="55"/>
      <c r="BEC2" s="55"/>
      <c r="BED2" s="55"/>
      <c r="BEE2" s="55"/>
      <c r="BEF2" s="55"/>
      <c r="BEG2" s="55"/>
      <c r="BEH2" s="55"/>
      <c r="BEI2" s="55"/>
      <c r="BEJ2" s="55"/>
      <c r="BEK2" s="55"/>
      <c r="BEL2" s="55"/>
      <c r="BEM2" s="55"/>
      <c r="BEN2" s="55"/>
      <c r="BEO2" s="55"/>
      <c r="BEP2" s="55"/>
      <c r="BEQ2" s="55"/>
      <c r="BER2" s="55"/>
      <c r="BES2" s="55"/>
      <c r="BET2" s="55"/>
      <c r="BEU2" s="55"/>
      <c r="BEV2" s="55"/>
      <c r="BEW2" s="55"/>
      <c r="BEX2" s="55"/>
      <c r="BEY2" s="55"/>
      <c r="BEZ2" s="55"/>
      <c r="BFA2" s="55"/>
      <c r="BFB2" s="55"/>
      <c r="BFC2" s="55"/>
      <c r="BFD2" s="55"/>
      <c r="BFE2" s="55"/>
      <c r="BFF2" s="55"/>
      <c r="BFG2" s="55"/>
      <c r="BFH2" s="55"/>
      <c r="BFI2" s="55"/>
      <c r="BFJ2" s="55"/>
      <c r="BFK2" s="55"/>
      <c r="BFL2" s="55"/>
      <c r="BFM2" s="55"/>
      <c r="BFN2" s="55"/>
      <c r="BFO2" s="55"/>
      <c r="BFP2" s="55"/>
      <c r="BFQ2" s="55"/>
      <c r="BFR2" s="55"/>
      <c r="BFS2" s="55"/>
      <c r="BFT2" s="55"/>
      <c r="BFU2" s="55"/>
      <c r="BFV2" s="55"/>
      <c r="BFW2" s="55"/>
      <c r="BFX2" s="55"/>
      <c r="BFY2" s="55"/>
      <c r="BFZ2" s="55"/>
      <c r="BGA2" s="55"/>
      <c r="BGB2" s="55"/>
      <c r="BGC2" s="55"/>
      <c r="BGD2" s="55"/>
      <c r="BGE2" s="55"/>
      <c r="BGF2" s="55"/>
      <c r="BGG2" s="55"/>
      <c r="BGH2" s="55"/>
      <c r="BGI2" s="55"/>
      <c r="BGJ2" s="55"/>
      <c r="BGK2" s="55"/>
      <c r="BGL2" s="55"/>
      <c r="BGM2" s="55"/>
      <c r="BGN2" s="55"/>
      <c r="BGO2" s="55"/>
      <c r="BGP2" s="55"/>
      <c r="BGQ2" s="55"/>
      <c r="BGR2" s="55"/>
      <c r="BGS2" s="55"/>
      <c r="BGT2" s="55"/>
      <c r="BGU2" s="55"/>
      <c r="BGV2" s="55"/>
      <c r="BGW2" s="55"/>
      <c r="BGX2" s="55"/>
      <c r="BGY2" s="55"/>
      <c r="BGZ2" s="55"/>
      <c r="BHA2" s="55"/>
      <c r="BHB2" s="55"/>
      <c r="BHC2" s="55"/>
      <c r="BHD2" s="55"/>
      <c r="BHE2" s="55"/>
      <c r="BHF2" s="55"/>
      <c r="BHG2" s="55"/>
      <c r="BHH2" s="55"/>
      <c r="BHI2" s="55"/>
      <c r="BHJ2" s="55"/>
      <c r="BHK2" s="55"/>
      <c r="BHL2" s="55"/>
      <c r="BHM2" s="55"/>
      <c r="BHN2" s="55"/>
      <c r="BHO2" s="55"/>
      <c r="BHP2" s="55"/>
      <c r="BHQ2" s="55"/>
      <c r="BHR2" s="55"/>
      <c r="BHS2" s="55"/>
      <c r="BHT2" s="55"/>
      <c r="BHU2" s="55"/>
      <c r="BHV2" s="55"/>
      <c r="BHW2" s="55"/>
      <c r="BHX2" s="55"/>
      <c r="BHY2" s="55"/>
      <c r="BHZ2" s="55"/>
      <c r="BIA2" s="55"/>
      <c r="BIB2" s="55"/>
      <c r="BIC2" s="55"/>
      <c r="BID2" s="55"/>
      <c r="BIE2" s="55"/>
      <c r="BIF2" s="55"/>
      <c r="BIG2" s="55"/>
      <c r="BIH2" s="55"/>
      <c r="BII2" s="55"/>
      <c r="BIJ2" s="55"/>
      <c r="BIK2" s="55"/>
      <c r="BIL2" s="55"/>
      <c r="BIM2" s="55"/>
      <c r="BIN2" s="55"/>
      <c r="BIO2" s="55"/>
      <c r="BIP2" s="55"/>
      <c r="BIQ2" s="55"/>
      <c r="BIR2" s="55"/>
      <c r="BIS2" s="55"/>
      <c r="BIT2" s="55"/>
      <c r="BIU2" s="55"/>
      <c r="BIV2" s="55"/>
      <c r="BIW2" s="55"/>
      <c r="BIX2" s="55"/>
      <c r="BIY2" s="55"/>
      <c r="BIZ2" s="55"/>
      <c r="BJA2" s="55"/>
      <c r="BJB2" s="55"/>
      <c r="BJC2" s="55"/>
      <c r="BJD2" s="55"/>
      <c r="BJE2" s="55"/>
      <c r="BJF2" s="55"/>
      <c r="BJG2" s="55"/>
      <c r="BJH2" s="55"/>
      <c r="BJI2" s="55"/>
      <c r="BJJ2" s="55"/>
      <c r="BJK2" s="55"/>
      <c r="BJL2" s="55"/>
      <c r="BJM2" s="55"/>
      <c r="BJN2" s="55"/>
      <c r="BJO2" s="55"/>
      <c r="BJP2" s="55"/>
      <c r="BJQ2" s="55"/>
      <c r="BJR2" s="55"/>
      <c r="BJS2" s="55"/>
      <c r="BJT2" s="55"/>
      <c r="BJU2" s="55"/>
      <c r="BJV2" s="55"/>
      <c r="BJW2" s="55"/>
      <c r="BJX2" s="55"/>
      <c r="BJY2" s="55"/>
      <c r="BJZ2" s="55"/>
      <c r="BKA2" s="55"/>
      <c r="BKB2" s="55"/>
      <c r="BKC2" s="55"/>
      <c r="BKD2" s="55"/>
      <c r="BKE2" s="55"/>
      <c r="BKF2" s="55"/>
      <c r="BKG2" s="55"/>
      <c r="BKH2" s="55"/>
      <c r="BKI2" s="55"/>
      <c r="BKJ2" s="55"/>
      <c r="BKK2" s="55"/>
      <c r="BKL2" s="55"/>
      <c r="BKM2" s="55"/>
      <c r="BKN2" s="55"/>
      <c r="BKO2" s="55"/>
      <c r="BKP2" s="55"/>
      <c r="BKQ2" s="55"/>
      <c r="BKR2" s="55"/>
      <c r="BKS2" s="55"/>
      <c r="BKT2" s="55"/>
      <c r="BKU2" s="55"/>
      <c r="BKV2" s="55"/>
      <c r="BKW2" s="55"/>
      <c r="BKX2" s="55"/>
      <c r="BKY2" s="55"/>
      <c r="BKZ2" s="55"/>
      <c r="BLA2" s="55"/>
      <c r="BLB2" s="55"/>
      <c r="BLC2" s="55"/>
      <c r="BLD2" s="55"/>
      <c r="BLE2" s="55"/>
      <c r="BLF2" s="55"/>
      <c r="BLG2" s="55"/>
      <c r="BLH2" s="55"/>
      <c r="BLI2" s="55"/>
      <c r="BLJ2" s="55"/>
      <c r="BLK2" s="55"/>
      <c r="BLL2" s="55"/>
      <c r="BLM2" s="55"/>
      <c r="BLN2" s="55"/>
      <c r="BLO2" s="55"/>
      <c r="BLP2" s="55"/>
      <c r="BLQ2" s="55"/>
      <c r="BLR2" s="55"/>
      <c r="BLS2" s="55"/>
      <c r="BLT2" s="55"/>
      <c r="BLU2" s="55"/>
      <c r="BLV2" s="55"/>
      <c r="BLW2" s="55"/>
      <c r="BLX2" s="55"/>
      <c r="BLY2" s="55"/>
      <c r="BLZ2" s="55"/>
      <c r="BMA2" s="55"/>
      <c r="BMB2" s="55"/>
      <c r="BMC2" s="55"/>
      <c r="BMD2" s="55"/>
      <c r="BME2" s="55"/>
      <c r="BMF2" s="55"/>
      <c r="BMG2" s="55"/>
      <c r="BMH2" s="55"/>
      <c r="BMI2" s="55"/>
      <c r="BMJ2" s="55"/>
      <c r="BMK2" s="55"/>
      <c r="BML2" s="55"/>
      <c r="BMM2" s="55"/>
      <c r="BMN2" s="55"/>
      <c r="BMO2" s="55"/>
      <c r="BMP2" s="55"/>
      <c r="BMQ2" s="55"/>
      <c r="BMR2" s="55"/>
      <c r="BMS2" s="55"/>
      <c r="BMT2" s="55"/>
      <c r="BMU2" s="55"/>
      <c r="BMV2" s="55"/>
      <c r="BMW2" s="55"/>
      <c r="BMX2" s="55"/>
      <c r="BMY2" s="55"/>
      <c r="BMZ2" s="55"/>
      <c r="BNA2" s="55"/>
      <c r="BNB2" s="55"/>
      <c r="BNC2" s="55"/>
      <c r="BND2" s="55"/>
      <c r="BNE2" s="55"/>
      <c r="BNF2" s="55"/>
      <c r="BNG2" s="55"/>
      <c r="BNH2" s="55"/>
      <c r="BNI2" s="55"/>
      <c r="BNJ2" s="55"/>
      <c r="BNK2" s="55"/>
      <c r="BNL2" s="55"/>
      <c r="BNM2" s="55"/>
      <c r="BNN2" s="55"/>
      <c r="BNO2" s="55"/>
      <c r="BNP2" s="55"/>
      <c r="BNQ2" s="55"/>
      <c r="BNR2" s="55"/>
      <c r="BNS2" s="55"/>
      <c r="BNT2" s="55"/>
      <c r="BNU2" s="55"/>
      <c r="BNV2" s="55"/>
      <c r="BNW2" s="55"/>
      <c r="BNX2" s="55"/>
      <c r="BNY2" s="55"/>
      <c r="BNZ2" s="55"/>
      <c r="BOA2" s="55"/>
      <c r="BOB2" s="55"/>
      <c r="BOC2" s="55"/>
      <c r="BOD2" s="55"/>
      <c r="BOE2" s="55"/>
      <c r="BOF2" s="55"/>
      <c r="BOG2" s="55"/>
      <c r="BOH2" s="55"/>
      <c r="BOI2" s="55"/>
      <c r="BOJ2" s="55"/>
      <c r="BOK2" s="55"/>
      <c r="BOL2" s="55"/>
      <c r="BOM2" s="55"/>
      <c r="BON2" s="55"/>
      <c r="BOO2" s="55"/>
      <c r="BOP2" s="55"/>
      <c r="BOQ2" s="55"/>
      <c r="BOR2" s="55"/>
      <c r="BOS2" s="55"/>
      <c r="BOT2" s="55"/>
      <c r="BOU2" s="55"/>
      <c r="BOV2" s="55"/>
      <c r="BOW2" s="55"/>
      <c r="BOX2" s="55"/>
      <c r="BOY2" s="55"/>
      <c r="BOZ2" s="55"/>
      <c r="BPA2" s="55"/>
      <c r="BPB2" s="55"/>
      <c r="BPC2" s="55"/>
      <c r="BPD2" s="55"/>
      <c r="BPE2" s="55"/>
      <c r="BPF2" s="55"/>
      <c r="BPG2" s="55"/>
      <c r="BPH2" s="55"/>
      <c r="BPI2" s="55"/>
      <c r="BPJ2" s="55"/>
      <c r="BPK2" s="55"/>
      <c r="BPL2" s="55"/>
      <c r="BPM2" s="55"/>
      <c r="BPN2" s="55"/>
      <c r="BPO2" s="55"/>
      <c r="BPP2" s="55"/>
      <c r="BPQ2" s="55"/>
      <c r="BPR2" s="55"/>
      <c r="BPS2" s="55"/>
      <c r="BPT2" s="55"/>
      <c r="BPU2" s="55"/>
      <c r="BPV2" s="55"/>
      <c r="BPW2" s="55"/>
      <c r="BPX2" s="55"/>
      <c r="BPY2" s="55"/>
      <c r="BPZ2" s="55"/>
      <c r="BQA2" s="55"/>
      <c r="BQB2" s="55"/>
      <c r="BQC2" s="55"/>
      <c r="BQD2" s="55"/>
      <c r="BQE2" s="55"/>
      <c r="BQF2" s="55"/>
      <c r="BQG2" s="55"/>
      <c r="BQH2" s="55"/>
      <c r="BQI2" s="55"/>
      <c r="BQJ2" s="55"/>
      <c r="BQK2" s="55"/>
      <c r="BQL2" s="55"/>
      <c r="BQM2" s="55"/>
      <c r="BQN2" s="55"/>
      <c r="BQO2" s="55"/>
      <c r="BQP2" s="55"/>
      <c r="BQQ2" s="55"/>
      <c r="BQR2" s="55"/>
      <c r="BQS2" s="55"/>
      <c r="BQT2" s="55"/>
      <c r="BQU2" s="55"/>
      <c r="BQV2" s="55"/>
      <c r="BQW2" s="55"/>
      <c r="BQX2" s="55"/>
      <c r="BQY2" s="55"/>
      <c r="BQZ2" s="55"/>
      <c r="BRA2" s="55"/>
      <c r="BRB2" s="55"/>
      <c r="BRC2" s="55"/>
      <c r="BRD2" s="55"/>
      <c r="BRE2" s="55"/>
      <c r="BRF2" s="55"/>
      <c r="BRG2" s="55"/>
      <c r="BRH2" s="55"/>
      <c r="BRI2" s="55"/>
      <c r="BRJ2" s="55"/>
      <c r="BRK2" s="55"/>
      <c r="BRL2" s="55"/>
      <c r="BRM2" s="55"/>
      <c r="BRN2" s="55"/>
      <c r="BRO2" s="55"/>
      <c r="BRP2" s="55"/>
      <c r="BRQ2" s="55"/>
      <c r="BRR2" s="55"/>
      <c r="BRS2" s="55"/>
      <c r="BRT2" s="55"/>
      <c r="BRU2" s="55"/>
      <c r="BRV2" s="55"/>
      <c r="BRW2" s="55"/>
      <c r="BRX2" s="55"/>
      <c r="BRY2" s="55"/>
      <c r="BRZ2" s="55"/>
      <c r="BSA2" s="55"/>
      <c r="BSB2" s="55"/>
      <c r="BSC2" s="55"/>
      <c r="BSD2" s="55"/>
      <c r="BSE2" s="55"/>
      <c r="BSF2" s="55"/>
      <c r="BSG2" s="55"/>
      <c r="BSH2" s="55"/>
      <c r="BSI2" s="55"/>
      <c r="BSJ2" s="55"/>
      <c r="BSK2" s="55"/>
      <c r="BSL2" s="55"/>
      <c r="BSM2" s="55"/>
      <c r="BSN2" s="55"/>
      <c r="BSO2" s="55"/>
      <c r="BSP2" s="55"/>
      <c r="BSQ2" s="55"/>
      <c r="BSR2" s="55"/>
      <c r="BSS2" s="55"/>
      <c r="BST2" s="55"/>
      <c r="BSU2" s="55"/>
      <c r="BSV2" s="55"/>
      <c r="BSW2" s="55"/>
      <c r="BSX2" s="55"/>
      <c r="BSY2" s="55"/>
      <c r="BSZ2" s="55"/>
      <c r="BTA2" s="55"/>
      <c r="BTB2" s="55"/>
      <c r="BTC2" s="55"/>
      <c r="BTD2" s="55"/>
      <c r="BTE2" s="55"/>
      <c r="BTF2" s="55"/>
      <c r="BTG2" s="55"/>
      <c r="BTH2" s="55"/>
      <c r="BTI2" s="55"/>
      <c r="BTJ2" s="55"/>
      <c r="BTK2" s="55"/>
      <c r="BTL2" s="55"/>
      <c r="BTM2" s="55"/>
      <c r="BTN2" s="55"/>
      <c r="BTO2" s="55"/>
      <c r="BTP2" s="55"/>
      <c r="BTQ2" s="55"/>
      <c r="BTR2" s="55"/>
      <c r="BTS2" s="55"/>
      <c r="BTT2" s="55"/>
      <c r="BTU2" s="55"/>
      <c r="BTV2" s="55"/>
      <c r="BTW2" s="55"/>
      <c r="BTX2" s="55"/>
      <c r="BTY2" s="55"/>
      <c r="BTZ2" s="55"/>
      <c r="BUA2" s="55"/>
      <c r="BUB2" s="55"/>
      <c r="BUC2" s="55"/>
      <c r="BUD2" s="55"/>
      <c r="BUE2" s="55"/>
      <c r="BUF2" s="55"/>
      <c r="BUG2" s="55"/>
      <c r="BUH2" s="55"/>
      <c r="BUI2" s="55"/>
      <c r="BUJ2" s="55"/>
      <c r="BUK2" s="55"/>
      <c r="BUL2" s="55"/>
      <c r="BUM2" s="55"/>
      <c r="BUN2" s="55"/>
      <c r="BUO2" s="55"/>
      <c r="BUP2" s="55"/>
      <c r="BUQ2" s="55"/>
      <c r="BUR2" s="55"/>
      <c r="BUS2" s="55"/>
      <c r="BUT2" s="55"/>
      <c r="BUU2" s="55"/>
      <c r="BUV2" s="55"/>
      <c r="BUW2" s="55"/>
      <c r="BUX2" s="55"/>
      <c r="BUY2" s="55"/>
      <c r="BUZ2" s="55"/>
      <c r="BVA2" s="55"/>
      <c r="BVB2" s="55"/>
      <c r="BVC2" s="55"/>
      <c r="BVD2" s="55"/>
      <c r="BVE2" s="55"/>
      <c r="BVF2" s="55"/>
      <c r="BVG2" s="55"/>
      <c r="BVH2" s="55"/>
      <c r="BVI2" s="55"/>
      <c r="BVJ2" s="55"/>
      <c r="BVK2" s="55"/>
      <c r="BVL2" s="55"/>
      <c r="BVM2" s="55"/>
      <c r="BVN2" s="55"/>
      <c r="BVO2" s="55"/>
      <c r="BVP2" s="55"/>
      <c r="BVQ2" s="55"/>
      <c r="BVR2" s="55"/>
      <c r="BVS2" s="55"/>
      <c r="BVT2" s="55"/>
      <c r="BVU2" s="55"/>
      <c r="BVV2" s="55"/>
      <c r="BVW2" s="55"/>
      <c r="BVX2" s="55"/>
      <c r="BVY2" s="55"/>
      <c r="BVZ2" s="55"/>
      <c r="BWA2" s="55"/>
      <c r="BWB2" s="55"/>
      <c r="BWC2" s="55"/>
      <c r="BWD2" s="55"/>
      <c r="BWE2" s="55"/>
      <c r="BWF2" s="55"/>
      <c r="BWG2" s="55"/>
      <c r="BWH2" s="55"/>
      <c r="BWI2" s="55"/>
      <c r="BWJ2" s="55"/>
      <c r="BWK2" s="55"/>
      <c r="BWL2" s="55"/>
      <c r="BWM2" s="55"/>
      <c r="BWN2" s="55"/>
      <c r="BWO2" s="55"/>
      <c r="BWP2" s="55"/>
      <c r="BWQ2" s="55"/>
      <c r="BWR2" s="55"/>
      <c r="BWS2" s="55"/>
      <c r="BWT2" s="55"/>
      <c r="BWU2" s="55"/>
      <c r="BWV2" s="55"/>
      <c r="BWW2" s="55"/>
      <c r="BWX2" s="55"/>
      <c r="BWY2" s="55"/>
      <c r="BWZ2" s="55"/>
      <c r="BXA2" s="55"/>
      <c r="BXB2" s="55"/>
      <c r="BXC2" s="55"/>
      <c r="BXD2" s="55"/>
      <c r="BXE2" s="55"/>
      <c r="BXF2" s="55"/>
      <c r="BXG2" s="55"/>
      <c r="BXH2" s="55"/>
      <c r="BXI2" s="55"/>
      <c r="BXJ2" s="55"/>
      <c r="BXK2" s="55"/>
      <c r="BXL2" s="55"/>
      <c r="BXM2" s="55"/>
      <c r="BXN2" s="55"/>
      <c r="BXO2" s="55"/>
      <c r="BXP2" s="55"/>
      <c r="BXQ2" s="55"/>
      <c r="BXR2" s="55"/>
      <c r="BXS2" s="55"/>
      <c r="BXT2" s="55"/>
      <c r="BXU2" s="55"/>
      <c r="BXV2" s="55"/>
      <c r="BXW2" s="55"/>
      <c r="BXX2" s="55"/>
      <c r="BXY2" s="55"/>
      <c r="BXZ2" s="55"/>
      <c r="BYA2" s="55"/>
      <c r="BYB2" s="55"/>
      <c r="BYC2" s="55"/>
      <c r="BYD2" s="55"/>
      <c r="BYE2" s="55"/>
      <c r="BYF2" s="55"/>
      <c r="BYG2" s="55"/>
      <c r="BYH2" s="55"/>
      <c r="BYI2" s="55"/>
      <c r="BYJ2" s="55"/>
      <c r="BYK2" s="55"/>
      <c r="BYL2" s="55"/>
      <c r="BYM2" s="55"/>
      <c r="BYN2" s="55"/>
      <c r="BYO2" s="55"/>
      <c r="BYP2" s="55"/>
      <c r="BYQ2" s="55"/>
      <c r="BYR2" s="55"/>
      <c r="BYS2" s="55"/>
      <c r="BYT2" s="55"/>
      <c r="BYU2" s="55"/>
      <c r="BYV2" s="55"/>
      <c r="BYW2" s="55"/>
      <c r="BYX2" s="55"/>
      <c r="BYY2" s="55"/>
      <c r="BYZ2" s="55"/>
      <c r="BZA2" s="55"/>
      <c r="BZB2" s="55"/>
      <c r="BZC2" s="55"/>
      <c r="BZD2" s="55"/>
      <c r="BZE2" s="55"/>
      <c r="BZF2" s="55"/>
      <c r="BZG2" s="55"/>
      <c r="BZH2" s="55"/>
      <c r="BZI2" s="55"/>
      <c r="BZJ2" s="55"/>
      <c r="BZK2" s="55"/>
      <c r="BZL2" s="55"/>
      <c r="BZM2" s="55"/>
      <c r="BZN2" s="55"/>
      <c r="BZO2" s="55"/>
      <c r="BZP2" s="55"/>
      <c r="BZQ2" s="55"/>
      <c r="BZR2" s="55"/>
      <c r="BZS2" s="55"/>
      <c r="BZT2" s="55"/>
      <c r="BZU2" s="55"/>
      <c r="BZV2" s="55"/>
      <c r="BZW2" s="55"/>
      <c r="BZX2" s="55"/>
      <c r="BZY2" s="55"/>
      <c r="BZZ2" s="55"/>
      <c r="CAA2" s="55"/>
      <c r="CAB2" s="55"/>
      <c r="CAC2" s="55"/>
      <c r="CAD2" s="55"/>
      <c r="CAE2" s="55"/>
      <c r="CAF2" s="55"/>
      <c r="CAG2" s="55"/>
      <c r="CAH2" s="55"/>
      <c r="CAI2" s="55"/>
      <c r="CAJ2" s="55"/>
      <c r="CAK2" s="55"/>
      <c r="CAL2" s="55"/>
      <c r="CAM2" s="55"/>
      <c r="CAN2" s="55"/>
      <c r="CAO2" s="55"/>
      <c r="CAP2" s="55"/>
      <c r="CAQ2" s="55"/>
      <c r="CAR2" s="55"/>
      <c r="CAS2" s="55"/>
      <c r="CAT2" s="55"/>
      <c r="CAU2" s="55"/>
      <c r="CAV2" s="55"/>
      <c r="CAW2" s="55"/>
      <c r="CAX2" s="55"/>
      <c r="CAY2" s="55"/>
      <c r="CAZ2" s="55"/>
      <c r="CBA2" s="55"/>
      <c r="CBB2" s="55"/>
      <c r="CBC2" s="55"/>
      <c r="CBD2" s="55"/>
      <c r="CBE2" s="55"/>
      <c r="CBF2" s="55"/>
      <c r="CBG2" s="55"/>
      <c r="CBH2" s="55"/>
      <c r="CBI2" s="55"/>
      <c r="CBJ2" s="55"/>
      <c r="CBK2" s="55"/>
      <c r="CBL2" s="55"/>
      <c r="CBM2" s="55"/>
      <c r="CBN2" s="55"/>
      <c r="CBO2" s="55"/>
      <c r="CBP2" s="55"/>
      <c r="CBQ2" s="55"/>
      <c r="CBR2" s="55"/>
      <c r="CBS2" s="55"/>
      <c r="CBT2" s="55"/>
      <c r="CBU2" s="55"/>
      <c r="CBV2" s="55"/>
      <c r="CBW2" s="55"/>
      <c r="CBX2" s="55"/>
      <c r="CBY2" s="55"/>
      <c r="CBZ2" s="55"/>
      <c r="CCA2" s="55"/>
      <c r="CCB2" s="55"/>
      <c r="CCC2" s="55"/>
      <c r="CCD2" s="55"/>
      <c r="CCE2" s="55"/>
      <c r="CCF2" s="55"/>
      <c r="CCG2" s="55"/>
      <c r="CCH2" s="55"/>
      <c r="CCI2" s="55"/>
      <c r="CCJ2" s="55"/>
      <c r="CCK2" s="55"/>
      <c r="CCL2" s="55"/>
      <c r="CCM2" s="55"/>
      <c r="CCN2" s="55"/>
      <c r="CCO2" s="55"/>
      <c r="CCP2" s="55"/>
      <c r="CCQ2" s="55"/>
      <c r="CCR2" s="55"/>
      <c r="CCS2" s="55"/>
      <c r="CCT2" s="55"/>
      <c r="CCU2" s="55"/>
      <c r="CCV2" s="55"/>
      <c r="CCW2" s="55"/>
      <c r="CCX2" s="55"/>
      <c r="CCY2" s="55"/>
      <c r="CCZ2" s="55"/>
      <c r="CDA2" s="55"/>
      <c r="CDB2" s="55"/>
      <c r="CDC2" s="55"/>
      <c r="CDD2" s="55"/>
      <c r="CDE2" s="55"/>
      <c r="CDF2" s="55"/>
      <c r="CDG2" s="55"/>
      <c r="CDH2" s="55"/>
      <c r="CDI2" s="55"/>
      <c r="CDJ2" s="55"/>
      <c r="CDK2" s="55"/>
      <c r="CDL2" s="55"/>
      <c r="CDM2" s="55"/>
      <c r="CDN2" s="55"/>
      <c r="CDO2" s="55"/>
      <c r="CDP2" s="55"/>
      <c r="CDQ2" s="55"/>
      <c r="CDR2" s="55"/>
      <c r="CDS2" s="55"/>
      <c r="CDT2" s="55"/>
      <c r="CDU2" s="55"/>
      <c r="CDV2" s="55"/>
      <c r="CDW2" s="55"/>
      <c r="CDX2" s="55"/>
      <c r="CDY2" s="55"/>
      <c r="CDZ2" s="55"/>
      <c r="CEA2" s="55"/>
      <c r="CEB2" s="55"/>
      <c r="CEC2" s="55"/>
      <c r="CED2" s="55"/>
      <c r="CEE2" s="55"/>
      <c r="CEF2" s="55"/>
      <c r="CEG2" s="55"/>
      <c r="CEH2" s="55"/>
      <c r="CEI2" s="55"/>
      <c r="CEJ2" s="55"/>
      <c r="CEK2" s="55"/>
      <c r="CEL2" s="55"/>
      <c r="CEM2" s="55"/>
      <c r="CEN2" s="55"/>
      <c r="CEO2" s="55"/>
      <c r="CEP2" s="55"/>
      <c r="CEQ2" s="55"/>
      <c r="CER2" s="55"/>
      <c r="CES2" s="55"/>
      <c r="CET2" s="55"/>
      <c r="CEU2" s="55"/>
      <c r="CEV2" s="55"/>
      <c r="CEW2" s="55"/>
      <c r="CEX2" s="55"/>
      <c r="CEY2" s="55"/>
      <c r="CEZ2" s="55"/>
      <c r="CFA2" s="55"/>
      <c r="CFB2" s="55"/>
      <c r="CFC2" s="55"/>
      <c r="CFD2" s="55"/>
      <c r="CFE2" s="55"/>
      <c r="CFF2" s="55"/>
      <c r="CFG2" s="55"/>
      <c r="CFH2" s="55"/>
      <c r="CFI2" s="55"/>
      <c r="CFJ2" s="55"/>
      <c r="CFK2" s="55"/>
      <c r="CFL2" s="55"/>
      <c r="CFM2" s="55"/>
      <c r="CFN2" s="55"/>
      <c r="CFO2" s="55"/>
      <c r="CFP2" s="55"/>
      <c r="CFQ2" s="55"/>
      <c r="CFR2" s="55"/>
      <c r="CFS2" s="55"/>
      <c r="CFT2" s="55"/>
      <c r="CFU2" s="55"/>
      <c r="CFV2" s="55"/>
      <c r="CFW2" s="55"/>
      <c r="CFX2" s="55"/>
      <c r="CFY2" s="55"/>
      <c r="CFZ2" s="55"/>
      <c r="CGA2" s="55"/>
      <c r="CGB2" s="55"/>
      <c r="CGC2" s="55"/>
      <c r="CGD2" s="55"/>
      <c r="CGE2" s="55"/>
      <c r="CGF2" s="55"/>
      <c r="CGG2" s="55"/>
      <c r="CGH2" s="55"/>
      <c r="CGI2" s="55"/>
      <c r="CGJ2" s="55"/>
      <c r="CGK2" s="55"/>
      <c r="CGL2" s="55"/>
      <c r="CGM2" s="55"/>
      <c r="CGN2" s="55"/>
      <c r="CGO2" s="55"/>
      <c r="CGP2" s="55"/>
      <c r="CGQ2" s="55"/>
      <c r="CGR2" s="55"/>
      <c r="CGS2" s="55"/>
      <c r="CGT2" s="55"/>
      <c r="CGU2" s="55"/>
      <c r="CGV2" s="55"/>
      <c r="CGW2" s="55"/>
      <c r="CGX2" s="55"/>
      <c r="CGY2" s="55"/>
      <c r="CGZ2" s="55"/>
      <c r="CHA2" s="55"/>
      <c r="CHB2" s="55"/>
      <c r="CHC2" s="55"/>
      <c r="CHD2" s="55"/>
      <c r="CHE2" s="55"/>
      <c r="CHF2" s="55"/>
      <c r="CHG2" s="55"/>
      <c r="CHH2" s="55"/>
      <c r="CHI2" s="55"/>
      <c r="CHJ2" s="55"/>
      <c r="CHK2" s="55"/>
      <c r="CHL2" s="55"/>
      <c r="CHM2" s="55"/>
      <c r="CHN2" s="55"/>
      <c r="CHO2" s="55"/>
      <c r="CHP2" s="55"/>
      <c r="CHQ2" s="55"/>
      <c r="CHR2" s="55"/>
      <c r="CHS2" s="55"/>
      <c r="CHT2" s="55"/>
      <c r="CHU2" s="55"/>
      <c r="CHV2" s="55"/>
      <c r="CHW2" s="55"/>
      <c r="CHX2" s="55"/>
      <c r="CHY2" s="55"/>
      <c r="CHZ2" s="55"/>
      <c r="CIA2" s="55"/>
      <c r="CIB2" s="55"/>
      <c r="CIC2" s="55"/>
      <c r="CID2" s="55"/>
      <c r="CIE2" s="55"/>
      <c r="CIF2" s="55"/>
      <c r="CIG2" s="55"/>
      <c r="CIH2" s="55"/>
      <c r="CII2" s="55"/>
      <c r="CIJ2" s="55"/>
      <c r="CIK2" s="55"/>
      <c r="CIL2" s="55"/>
      <c r="CIM2" s="55"/>
      <c r="CIN2" s="55"/>
      <c r="CIO2" s="55"/>
      <c r="CIP2" s="55"/>
      <c r="CIQ2" s="55"/>
      <c r="CIR2" s="55"/>
      <c r="CIS2" s="55"/>
      <c r="CIT2" s="55"/>
      <c r="CIU2" s="55"/>
      <c r="CIV2" s="55"/>
      <c r="CIW2" s="55"/>
      <c r="CIX2" s="55"/>
      <c r="CIY2" s="55"/>
      <c r="CIZ2" s="55"/>
      <c r="CJA2" s="55"/>
      <c r="CJB2" s="55"/>
      <c r="CJC2" s="55"/>
      <c r="CJD2" s="55"/>
      <c r="CJE2" s="55"/>
      <c r="CJF2" s="55"/>
      <c r="CJG2" s="55"/>
      <c r="CJH2" s="55"/>
      <c r="CJI2" s="55"/>
      <c r="CJJ2" s="55"/>
      <c r="CJK2" s="55"/>
      <c r="CJL2" s="55"/>
      <c r="CJM2" s="55"/>
      <c r="CJN2" s="55"/>
      <c r="CJO2" s="55"/>
      <c r="CJP2" s="55"/>
      <c r="CJQ2" s="55"/>
      <c r="CJR2" s="55"/>
      <c r="CJS2" s="55"/>
      <c r="CJT2" s="55"/>
      <c r="CJU2" s="55"/>
      <c r="CJV2" s="55"/>
      <c r="CJW2" s="55"/>
      <c r="CJX2" s="55"/>
      <c r="CJY2" s="55"/>
      <c r="CJZ2" s="55"/>
      <c r="CKA2" s="55"/>
      <c r="CKB2" s="55"/>
      <c r="CKC2" s="55"/>
      <c r="CKD2" s="55"/>
      <c r="CKE2" s="55"/>
      <c r="CKF2" s="55"/>
      <c r="CKG2" s="55"/>
      <c r="CKH2" s="55"/>
      <c r="CKI2" s="55"/>
      <c r="CKJ2" s="55"/>
      <c r="CKK2" s="55"/>
      <c r="CKL2" s="55"/>
      <c r="CKM2" s="55"/>
      <c r="CKN2" s="55"/>
      <c r="CKO2" s="55"/>
      <c r="CKP2" s="55"/>
      <c r="CKQ2" s="55"/>
      <c r="CKR2" s="55"/>
      <c r="CKS2" s="55"/>
      <c r="CKT2" s="55"/>
      <c r="CKU2" s="55"/>
      <c r="CKV2" s="55"/>
      <c r="CKW2" s="55"/>
      <c r="CKX2" s="55"/>
      <c r="CKY2" s="55"/>
      <c r="CKZ2" s="55"/>
      <c r="CLA2" s="55"/>
      <c r="CLB2" s="55"/>
      <c r="CLC2" s="55"/>
      <c r="CLD2" s="55"/>
      <c r="CLE2" s="55"/>
      <c r="CLF2" s="55"/>
      <c r="CLG2" s="55"/>
      <c r="CLH2" s="55"/>
      <c r="CLI2" s="55"/>
      <c r="CLJ2" s="55"/>
      <c r="CLK2" s="55"/>
      <c r="CLL2" s="55"/>
      <c r="CLM2" s="55"/>
      <c r="CLN2" s="55"/>
      <c r="CLO2" s="55"/>
      <c r="CLP2" s="55"/>
      <c r="CLQ2" s="55"/>
      <c r="CLR2" s="55"/>
      <c r="CLS2" s="55"/>
      <c r="CLT2" s="55"/>
      <c r="CLU2" s="55"/>
      <c r="CLV2" s="55"/>
      <c r="CLW2" s="55"/>
      <c r="CLX2" s="55"/>
      <c r="CLY2" s="55"/>
      <c r="CLZ2" s="55"/>
      <c r="CMA2" s="55"/>
      <c r="CMB2" s="55"/>
      <c r="CMC2" s="55"/>
      <c r="CMD2" s="55"/>
      <c r="CME2" s="55"/>
      <c r="CMF2" s="55"/>
      <c r="CMG2" s="55"/>
      <c r="CMH2" s="55"/>
      <c r="CMI2" s="55"/>
      <c r="CMJ2" s="55"/>
      <c r="CMK2" s="55"/>
      <c r="CML2" s="55"/>
      <c r="CMM2" s="55"/>
      <c r="CMN2" s="55"/>
      <c r="CMO2" s="55"/>
      <c r="CMP2" s="55"/>
      <c r="CMQ2" s="55"/>
      <c r="CMR2" s="55"/>
      <c r="CMS2" s="55"/>
      <c r="CMT2" s="55"/>
      <c r="CMU2" s="55"/>
      <c r="CMV2" s="55"/>
      <c r="CMW2" s="55"/>
      <c r="CMX2" s="55"/>
      <c r="CMY2" s="55"/>
      <c r="CMZ2" s="55"/>
      <c r="CNA2" s="55"/>
      <c r="CNB2" s="55"/>
      <c r="CNC2" s="55"/>
      <c r="CND2" s="55"/>
      <c r="CNE2" s="55"/>
      <c r="CNF2" s="55"/>
      <c r="CNG2" s="55"/>
      <c r="CNH2" s="55"/>
      <c r="CNI2" s="55"/>
      <c r="CNJ2" s="55"/>
      <c r="CNK2" s="55"/>
      <c r="CNL2" s="55"/>
      <c r="CNM2" s="55"/>
      <c r="CNN2" s="55"/>
      <c r="CNO2" s="55"/>
      <c r="CNP2" s="55"/>
      <c r="CNQ2" s="55"/>
      <c r="CNR2" s="55"/>
      <c r="CNS2" s="55"/>
      <c r="CNT2" s="55"/>
      <c r="CNU2" s="55"/>
      <c r="CNV2" s="55"/>
      <c r="CNW2" s="55"/>
      <c r="CNX2" s="55"/>
      <c r="CNY2" s="55"/>
      <c r="CNZ2" s="55"/>
      <c r="COA2" s="55"/>
      <c r="COB2" s="55"/>
      <c r="COC2" s="55"/>
      <c r="COD2" s="55"/>
      <c r="COE2" s="55"/>
      <c r="COF2" s="55"/>
      <c r="COG2" s="55"/>
      <c r="COH2" s="55"/>
      <c r="COI2" s="55"/>
      <c r="COJ2" s="55"/>
      <c r="COK2" s="55"/>
      <c r="COL2" s="55"/>
      <c r="COM2" s="55"/>
      <c r="CON2" s="55"/>
      <c r="COO2" s="55"/>
      <c r="COP2" s="55"/>
      <c r="COQ2" s="55"/>
      <c r="COR2" s="55"/>
      <c r="COS2" s="55"/>
      <c r="COT2" s="55"/>
      <c r="COU2" s="55"/>
      <c r="COV2" s="55"/>
      <c r="COW2" s="55"/>
      <c r="COX2" s="55"/>
      <c r="COY2" s="55"/>
      <c r="COZ2" s="55"/>
      <c r="CPA2" s="55"/>
      <c r="CPB2" s="55"/>
      <c r="CPC2" s="55"/>
      <c r="CPD2" s="55"/>
      <c r="CPE2" s="55"/>
      <c r="CPF2" s="55"/>
      <c r="CPG2" s="55"/>
      <c r="CPH2" s="55"/>
      <c r="CPI2" s="55"/>
      <c r="CPJ2" s="55"/>
      <c r="CPK2" s="55"/>
      <c r="CPL2" s="55"/>
      <c r="CPM2" s="55"/>
      <c r="CPN2" s="55"/>
      <c r="CPO2" s="55"/>
      <c r="CPP2" s="55"/>
      <c r="CPQ2" s="55"/>
      <c r="CPR2" s="55"/>
      <c r="CPS2" s="55"/>
      <c r="CPT2" s="55"/>
      <c r="CPU2" s="55"/>
      <c r="CPV2" s="55"/>
      <c r="CPW2" s="55"/>
      <c r="CPX2" s="55"/>
      <c r="CPY2" s="55"/>
      <c r="CPZ2" s="55"/>
      <c r="CQA2" s="55"/>
      <c r="CQB2" s="55"/>
      <c r="CQC2" s="55"/>
      <c r="CQD2" s="55"/>
      <c r="CQE2" s="55"/>
      <c r="CQF2" s="55"/>
      <c r="CQG2" s="55"/>
      <c r="CQH2" s="55"/>
      <c r="CQI2" s="55"/>
      <c r="CQJ2" s="55"/>
      <c r="CQK2" s="55"/>
      <c r="CQL2" s="55"/>
      <c r="CQM2" s="55"/>
      <c r="CQN2" s="55"/>
      <c r="CQO2" s="55"/>
      <c r="CQP2" s="55"/>
      <c r="CQQ2" s="55"/>
      <c r="CQR2" s="55"/>
      <c r="CQS2" s="55"/>
      <c r="CQT2" s="55"/>
      <c r="CQU2" s="55"/>
      <c r="CQV2" s="55"/>
      <c r="CQW2" s="55"/>
      <c r="CQX2" s="55"/>
      <c r="CQY2" s="55"/>
      <c r="CQZ2" s="55"/>
      <c r="CRA2" s="55"/>
      <c r="CRB2" s="55"/>
      <c r="CRC2" s="55"/>
      <c r="CRD2" s="55"/>
      <c r="CRE2" s="55"/>
      <c r="CRF2" s="55"/>
      <c r="CRG2" s="55"/>
      <c r="CRH2" s="55"/>
      <c r="CRI2" s="55"/>
      <c r="CRJ2" s="55"/>
      <c r="CRK2" s="55"/>
      <c r="CRL2" s="55"/>
      <c r="CRM2" s="55"/>
      <c r="CRN2" s="55"/>
      <c r="CRO2" s="55"/>
      <c r="CRP2" s="55"/>
      <c r="CRQ2" s="55"/>
      <c r="CRR2" s="55"/>
      <c r="CRS2" s="55"/>
      <c r="CRT2" s="55"/>
      <c r="CRU2" s="55"/>
      <c r="CRV2" s="55"/>
      <c r="CRW2" s="55"/>
      <c r="CRX2" s="55"/>
      <c r="CRY2" s="55"/>
      <c r="CRZ2" s="55"/>
      <c r="CSA2" s="55"/>
      <c r="CSB2" s="55"/>
      <c r="CSC2" s="55"/>
      <c r="CSD2" s="55"/>
      <c r="CSE2" s="55"/>
      <c r="CSF2" s="55"/>
      <c r="CSG2" s="55"/>
      <c r="CSH2" s="55"/>
      <c r="CSI2" s="55"/>
      <c r="CSJ2" s="55"/>
      <c r="CSK2" s="55"/>
      <c r="CSL2" s="55"/>
      <c r="CSM2" s="55"/>
      <c r="CSN2" s="55"/>
      <c r="CSO2" s="55"/>
      <c r="CSP2" s="55"/>
      <c r="CSQ2" s="55"/>
      <c r="CSR2" s="55"/>
      <c r="CSS2" s="55"/>
      <c r="CST2" s="55"/>
      <c r="CSU2" s="55"/>
      <c r="CSV2" s="55"/>
      <c r="CSW2" s="55"/>
      <c r="CSX2" s="55"/>
      <c r="CSY2" s="55"/>
      <c r="CSZ2" s="55"/>
      <c r="CTA2" s="55"/>
      <c r="CTB2" s="55"/>
      <c r="CTC2" s="55"/>
      <c r="CTD2" s="55"/>
      <c r="CTE2" s="55"/>
      <c r="CTF2" s="55"/>
      <c r="CTG2" s="55"/>
      <c r="CTH2" s="55"/>
      <c r="CTI2" s="55"/>
      <c r="CTJ2" s="55"/>
      <c r="CTK2" s="55"/>
      <c r="CTL2" s="55"/>
      <c r="CTM2" s="55"/>
      <c r="CTN2" s="55"/>
      <c r="CTO2" s="55"/>
      <c r="CTP2" s="55"/>
      <c r="CTQ2" s="55"/>
      <c r="CTR2" s="55"/>
      <c r="CTS2" s="55"/>
      <c r="CTT2" s="55"/>
      <c r="CTU2" s="55"/>
      <c r="CTV2" s="55"/>
      <c r="CTW2" s="55"/>
      <c r="CTX2" s="55"/>
      <c r="CTY2" s="55"/>
      <c r="CTZ2" s="55"/>
      <c r="CUA2" s="55"/>
      <c r="CUB2" s="55"/>
      <c r="CUC2" s="55"/>
      <c r="CUD2" s="55"/>
      <c r="CUE2" s="55"/>
      <c r="CUF2" s="55"/>
      <c r="CUG2" s="55"/>
      <c r="CUH2" s="55"/>
      <c r="CUI2" s="55"/>
      <c r="CUJ2" s="55"/>
      <c r="CUK2" s="55"/>
      <c r="CUL2" s="55"/>
      <c r="CUM2" s="55"/>
      <c r="CUN2" s="55"/>
      <c r="CUO2" s="55"/>
      <c r="CUP2" s="55"/>
      <c r="CUQ2" s="55"/>
      <c r="CUR2" s="55"/>
      <c r="CUS2" s="55"/>
      <c r="CUT2" s="55"/>
      <c r="CUU2" s="55"/>
      <c r="CUV2" s="55"/>
      <c r="CUW2" s="55"/>
      <c r="CUX2" s="55"/>
      <c r="CUY2" s="55"/>
      <c r="CUZ2" s="55"/>
      <c r="CVA2" s="55"/>
      <c r="CVB2" s="55"/>
      <c r="CVC2" s="55"/>
      <c r="CVD2" s="55"/>
      <c r="CVE2" s="55"/>
      <c r="CVF2" s="55"/>
      <c r="CVG2" s="55"/>
      <c r="CVH2" s="55"/>
      <c r="CVI2" s="55"/>
      <c r="CVJ2" s="55"/>
      <c r="CVK2" s="55"/>
      <c r="CVL2" s="55"/>
      <c r="CVM2" s="55"/>
      <c r="CVN2" s="55"/>
      <c r="CVO2" s="55"/>
      <c r="CVP2" s="55"/>
      <c r="CVQ2" s="55"/>
      <c r="CVR2" s="55"/>
      <c r="CVS2" s="55"/>
      <c r="CVT2" s="55"/>
      <c r="CVU2" s="55"/>
      <c r="CVV2" s="55"/>
      <c r="CVW2" s="55"/>
      <c r="CVX2" s="55"/>
      <c r="CVY2" s="55"/>
      <c r="CVZ2" s="55"/>
      <c r="CWA2" s="55"/>
      <c r="CWB2" s="55"/>
      <c r="CWC2" s="55"/>
      <c r="CWD2" s="55"/>
      <c r="CWE2" s="55"/>
      <c r="CWF2" s="55"/>
      <c r="CWG2" s="55"/>
      <c r="CWH2" s="55"/>
      <c r="CWI2" s="55"/>
      <c r="CWJ2" s="55"/>
      <c r="CWK2" s="55"/>
      <c r="CWL2" s="55"/>
      <c r="CWM2" s="55"/>
      <c r="CWN2" s="55"/>
      <c r="CWO2" s="55"/>
      <c r="CWP2" s="55"/>
      <c r="CWQ2" s="55"/>
      <c r="CWR2" s="55"/>
      <c r="CWS2" s="55"/>
      <c r="CWT2" s="55"/>
      <c r="CWU2" s="55"/>
      <c r="CWV2" s="55"/>
      <c r="CWW2" s="55"/>
      <c r="CWX2" s="55"/>
      <c r="CWY2" s="55"/>
      <c r="CWZ2" s="55"/>
      <c r="CXA2" s="55"/>
      <c r="CXB2" s="55"/>
      <c r="CXC2" s="55"/>
      <c r="CXD2" s="55"/>
      <c r="CXE2" s="55"/>
      <c r="CXF2" s="55"/>
      <c r="CXG2" s="55"/>
      <c r="CXH2" s="55"/>
      <c r="CXI2" s="55"/>
      <c r="CXJ2" s="55"/>
      <c r="CXK2" s="55"/>
      <c r="CXL2" s="55"/>
      <c r="CXM2" s="55"/>
      <c r="CXN2" s="55"/>
      <c r="CXO2" s="55"/>
      <c r="CXP2" s="55"/>
      <c r="CXQ2" s="55"/>
      <c r="CXR2" s="55"/>
      <c r="CXS2" s="55"/>
      <c r="CXT2" s="55"/>
      <c r="CXU2" s="55"/>
      <c r="CXV2" s="55"/>
      <c r="CXW2" s="55"/>
      <c r="CXX2" s="55"/>
      <c r="CXY2" s="55"/>
      <c r="CXZ2" s="55"/>
      <c r="CYA2" s="55"/>
      <c r="CYB2" s="55"/>
      <c r="CYC2" s="55"/>
      <c r="CYD2" s="55"/>
      <c r="CYE2" s="55"/>
      <c r="CYF2" s="55"/>
      <c r="CYG2" s="55"/>
      <c r="CYH2" s="55"/>
      <c r="CYI2" s="55"/>
      <c r="CYJ2" s="55"/>
      <c r="CYK2" s="55"/>
      <c r="CYL2" s="55"/>
      <c r="CYM2" s="55"/>
      <c r="CYN2" s="55"/>
      <c r="CYO2" s="55"/>
      <c r="CYP2" s="55"/>
      <c r="CYQ2" s="55"/>
      <c r="CYR2" s="55"/>
      <c r="CYS2" s="55"/>
      <c r="CYT2" s="55"/>
      <c r="CYU2" s="55"/>
      <c r="CYV2" s="55"/>
      <c r="CYW2" s="55"/>
      <c r="CYX2" s="55"/>
      <c r="CYY2" s="55"/>
      <c r="CYZ2" s="55"/>
      <c r="CZA2" s="55"/>
      <c r="CZB2" s="55"/>
      <c r="CZC2" s="55"/>
      <c r="CZD2" s="55"/>
      <c r="CZE2" s="55"/>
      <c r="CZF2" s="55"/>
      <c r="CZG2" s="55"/>
      <c r="CZH2" s="55"/>
      <c r="CZI2" s="55"/>
      <c r="CZJ2" s="55"/>
      <c r="CZK2" s="55"/>
      <c r="CZL2" s="55"/>
      <c r="CZM2" s="55"/>
      <c r="CZN2" s="55"/>
      <c r="CZO2" s="55"/>
      <c r="CZP2" s="55"/>
      <c r="CZQ2" s="55"/>
      <c r="CZR2" s="55"/>
      <c r="CZS2" s="55"/>
      <c r="CZT2" s="55"/>
      <c r="CZU2" s="55"/>
      <c r="CZV2" s="55"/>
      <c r="CZW2" s="55"/>
      <c r="CZX2" s="55"/>
      <c r="CZY2" s="55"/>
      <c r="CZZ2" s="55"/>
      <c r="DAA2" s="55"/>
      <c r="DAB2" s="55"/>
      <c r="DAC2" s="55"/>
      <c r="DAD2" s="55"/>
      <c r="DAE2" s="55"/>
      <c r="DAF2" s="55"/>
      <c r="DAG2" s="55"/>
      <c r="DAH2" s="55"/>
      <c r="DAI2" s="55"/>
      <c r="DAJ2" s="55"/>
      <c r="DAK2" s="55"/>
      <c r="DAL2" s="55"/>
      <c r="DAM2" s="55"/>
      <c r="DAN2" s="55"/>
      <c r="DAO2" s="55"/>
      <c r="DAP2" s="55"/>
      <c r="DAQ2" s="55"/>
      <c r="DAR2" s="55"/>
      <c r="DAS2" s="55"/>
      <c r="DAT2" s="55"/>
      <c r="DAU2" s="55"/>
      <c r="DAV2" s="55"/>
      <c r="DAW2" s="55"/>
      <c r="DAX2" s="55"/>
      <c r="DAY2" s="55"/>
      <c r="DAZ2" s="55"/>
      <c r="DBA2" s="55"/>
      <c r="DBB2" s="55"/>
      <c r="DBC2" s="55"/>
      <c r="DBD2" s="55"/>
      <c r="DBE2" s="55"/>
      <c r="DBF2" s="55"/>
      <c r="DBG2" s="55"/>
      <c r="DBH2" s="55"/>
      <c r="DBI2" s="55"/>
      <c r="DBJ2" s="55"/>
      <c r="DBK2" s="55"/>
      <c r="DBL2" s="55"/>
      <c r="DBM2" s="55"/>
      <c r="DBN2" s="55"/>
      <c r="DBO2" s="55"/>
      <c r="DBP2" s="55"/>
      <c r="DBQ2" s="55"/>
      <c r="DBR2" s="55"/>
      <c r="DBS2" s="55"/>
      <c r="DBT2" s="55"/>
      <c r="DBU2" s="55"/>
      <c r="DBV2" s="55"/>
      <c r="DBW2" s="55"/>
      <c r="DBX2" s="55"/>
      <c r="DBY2" s="55"/>
      <c r="DBZ2" s="55"/>
      <c r="DCA2" s="55"/>
      <c r="DCB2" s="55"/>
      <c r="DCC2" s="55"/>
      <c r="DCD2" s="55"/>
      <c r="DCE2" s="55"/>
      <c r="DCF2" s="55"/>
      <c r="DCG2" s="55"/>
      <c r="DCH2" s="55"/>
      <c r="DCI2" s="55"/>
      <c r="DCJ2" s="55"/>
      <c r="DCK2" s="55"/>
      <c r="DCL2" s="55"/>
      <c r="DCM2" s="55"/>
      <c r="DCN2" s="55"/>
      <c r="DCO2" s="55"/>
      <c r="DCP2" s="55"/>
      <c r="DCQ2" s="55"/>
      <c r="DCR2" s="55"/>
      <c r="DCS2" s="55"/>
      <c r="DCT2" s="55"/>
      <c r="DCU2" s="55"/>
      <c r="DCV2" s="55"/>
      <c r="DCW2" s="55"/>
      <c r="DCX2" s="55"/>
      <c r="DCY2" s="55"/>
      <c r="DCZ2" s="55"/>
      <c r="DDA2" s="55"/>
      <c r="DDB2" s="55"/>
      <c r="DDC2" s="55"/>
      <c r="DDD2" s="55"/>
      <c r="DDE2" s="55"/>
      <c r="DDF2" s="55"/>
      <c r="DDG2" s="55"/>
      <c r="DDH2" s="55"/>
      <c r="DDI2" s="55"/>
      <c r="DDJ2" s="55"/>
      <c r="DDK2" s="55"/>
      <c r="DDL2" s="55"/>
      <c r="DDM2" s="55"/>
      <c r="DDN2" s="55"/>
      <c r="DDO2" s="55"/>
      <c r="DDP2" s="55"/>
      <c r="DDQ2" s="55"/>
      <c r="DDR2" s="55"/>
      <c r="DDS2" s="55"/>
      <c r="DDT2" s="55"/>
      <c r="DDU2" s="55"/>
      <c r="DDV2" s="55"/>
      <c r="DDW2" s="55"/>
      <c r="DDX2" s="55"/>
      <c r="DDY2" s="55"/>
      <c r="DDZ2" s="55"/>
      <c r="DEA2" s="55"/>
      <c r="DEB2" s="55"/>
      <c r="DEC2" s="55"/>
      <c r="DED2" s="55"/>
      <c r="DEE2" s="55"/>
      <c r="DEF2" s="55"/>
      <c r="DEG2" s="55"/>
      <c r="DEH2" s="55"/>
      <c r="DEI2" s="55"/>
      <c r="DEJ2" s="55"/>
      <c r="DEK2" s="55"/>
      <c r="DEL2" s="55"/>
      <c r="DEM2" s="55"/>
      <c r="DEN2" s="55"/>
      <c r="DEO2" s="55"/>
      <c r="DEP2" s="55"/>
      <c r="DEQ2" s="55"/>
      <c r="DER2" s="55"/>
      <c r="DES2" s="55"/>
      <c r="DET2" s="55"/>
      <c r="DEU2" s="55"/>
      <c r="DEV2" s="55"/>
      <c r="DEW2" s="55"/>
      <c r="DEX2" s="55"/>
      <c r="DEY2" s="55"/>
      <c r="DEZ2" s="55"/>
      <c r="DFA2" s="55"/>
      <c r="DFB2" s="55"/>
      <c r="DFC2" s="55"/>
      <c r="DFD2" s="55"/>
      <c r="DFE2" s="55"/>
      <c r="DFF2" s="55"/>
      <c r="DFG2" s="55"/>
      <c r="DFH2" s="55"/>
      <c r="DFI2" s="55"/>
      <c r="DFJ2" s="55"/>
      <c r="DFK2" s="55"/>
      <c r="DFL2" s="55"/>
      <c r="DFM2" s="55"/>
      <c r="DFN2" s="55"/>
      <c r="DFO2" s="55"/>
      <c r="DFP2" s="55"/>
      <c r="DFQ2" s="55"/>
      <c r="DFR2" s="55"/>
      <c r="DFS2" s="55"/>
      <c r="DFT2" s="55"/>
      <c r="DFU2" s="55"/>
      <c r="DFV2" s="55"/>
      <c r="DFW2" s="55"/>
      <c r="DFX2" s="55"/>
      <c r="DFY2" s="55"/>
      <c r="DFZ2" s="55"/>
      <c r="DGA2" s="55"/>
      <c r="DGB2" s="55"/>
      <c r="DGC2" s="55"/>
      <c r="DGD2" s="55"/>
      <c r="DGE2" s="55"/>
      <c r="DGF2" s="55"/>
      <c r="DGG2" s="55"/>
      <c r="DGH2" s="55"/>
      <c r="DGI2" s="55"/>
      <c r="DGJ2" s="55"/>
      <c r="DGK2" s="55"/>
      <c r="DGL2" s="55"/>
      <c r="DGM2" s="55"/>
      <c r="DGN2" s="55"/>
      <c r="DGO2" s="55"/>
      <c r="DGP2" s="55"/>
      <c r="DGQ2" s="55"/>
      <c r="DGR2" s="55"/>
      <c r="DGS2" s="55"/>
      <c r="DGT2" s="55"/>
      <c r="DGU2" s="55"/>
      <c r="DGV2" s="55"/>
      <c r="DGW2" s="55"/>
      <c r="DGX2" s="55"/>
      <c r="DGY2" s="55"/>
      <c r="DGZ2" s="55"/>
      <c r="DHA2" s="55"/>
      <c r="DHB2" s="55"/>
      <c r="DHC2" s="55"/>
      <c r="DHD2" s="55"/>
      <c r="DHE2" s="55"/>
      <c r="DHF2" s="55"/>
      <c r="DHG2" s="55"/>
      <c r="DHH2" s="55"/>
      <c r="DHI2" s="55"/>
      <c r="DHJ2" s="55"/>
      <c r="DHK2" s="55"/>
      <c r="DHL2" s="55"/>
      <c r="DHM2" s="55"/>
      <c r="DHN2" s="55"/>
      <c r="DHO2" s="55"/>
      <c r="DHP2" s="55"/>
      <c r="DHQ2" s="55"/>
      <c r="DHR2" s="55"/>
      <c r="DHS2" s="55"/>
      <c r="DHT2" s="55"/>
      <c r="DHU2" s="55"/>
      <c r="DHV2" s="55"/>
      <c r="DHW2" s="55"/>
      <c r="DHX2" s="55"/>
      <c r="DHY2" s="55"/>
      <c r="DHZ2" s="55"/>
      <c r="DIA2" s="55"/>
      <c r="DIB2" s="55"/>
      <c r="DIC2" s="55"/>
      <c r="DID2" s="55"/>
      <c r="DIE2" s="55"/>
      <c r="DIF2" s="55"/>
      <c r="DIG2" s="55"/>
      <c r="DIH2" s="55"/>
      <c r="DII2" s="55"/>
      <c r="DIJ2" s="55"/>
      <c r="DIK2" s="55"/>
      <c r="DIL2" s="55"/>
      <c r="DIM2" s="55"/>
      <c r="DIN2" s="55"/>
      <c r="DIO2" s="55"/>
      <c r="DIP2" s="55"/>
      <c r="DIQ2" s="55"/>
      <c r="DIR2" s="55"/>
      <c r="DIS2" s="55"/>
      <c r="DIT2" s="55"/>
      <c r="DIU2" s="55"/>
      <c r="DIV2" s="55"/>
      <c r="DIW2" s="55"/>
      <c r="DIX2" s="55"/>
      <c r="DIY2" s="55"/>
      <c r="DIZ2" s="55"/>
      <c r="DJA2" s="55"/>
      <c r="DJB2" s="55"/>
      <c r="DJC2" s="55"/>
      <c r="DJD2" s="55"/>
      <c r="DJE2" s="55"/>
      <c r="DJF2" s="55"/>
      <c r="DJG2" s="55"/>
      <c r="DJH2" s="55"/>
      <c r="DJI2" s="55"/>
      <c r="DJJ2" s="55"/>
      <c r="DJK2" s="55"/>
      <c r="DJL2" s="55"/>
      <c r="DJM2" s="55"/>
      <c r="DJN2" s="55"/>
      <c r="DJO2" s="55"/>
      <c r="DJP2" s="55"/>
      <c r="DJQ2" s="55"/>
      <c r="DJR2" s="55"/>
      <c r="DJS2" s="55"/>
      <c r="DJT2" s="55"/>
      <c r="DJU2" s="55"/>
      <c r="DJV2" s="55"/>
      <c r="DJW2" s="55"/>
      <c r="DJX2" s="55"/>
      <c r="DJY2" s="55"/>
      <c r="DJZ2" s="55"/>
      <c r="DKA2" s="55"/>
      <c r="DKB2" s="55"/>
      <c r="DKC2" s="55"/>
      <c r="DKD2" s="55"/>
      <c r="DKE2" s="55"/>
      <c r="DKF2" s="55"/>
      <c r="DKG2" s="55"/>
      <c r="DKH2" s="55"/>
      <c r="DKI2" s="55"/>
      <c r="DKJ2" s="55"/>
      <c r="DKK2" s="55"/>
      <c r="DKL2" s="55"/>
      <c r="DKM2" s="55"/>
      <c r="DKN2" s="55"/>
      <c r="DKO2" s="55"/>
      <c r="DKP2" s="55"/>
      <c r="DKQ2" s="55"/>
      <c r="DKR2" s="55"/>
      <c r="DKS2" s="55"/>
      <c r="DKT2" s="55"/>
      <c r="DKU2" s="55"/>
      <c r="DKV2" s="55"/>
      <c r="DKW2" s="55"/>
      <c r="DKX2" s="55"/>
      <c r="DKY2" s="55"/>
      <c r="DKZ2" s="55"/>
      <c r="DLA2" s="55"/>
      <c r="DLB2" s="55"/>
      <c r="DLC2" s="55"/>
      <c r="DLD2" s="55"/>
      <c r="DLE2" s="55"/>
      <c r="DLF2" s="55"/>
      <c r="DLG2" s="55"/>
      <c r="DLH2" s="55"/>
      <c r="DLI2" s="55"/>
      <c r="DLJ2" s="55"/>
      <c r="DLK2" s="55"/>
      <c r="DLL2" s="55"/>
      <c r="DLM2" s="55"/>
      <c r="DLN2" s="55"/>
      <c r="DLO2" s="55"/>
      <c r="DLP2" s="55"/>
      <c r="DLQ2" s="55"/>
      <c r="DLR2" s="55"/>
      <c r="DLS2" s="55"/>
      <c r="DLT2" s="55"/>
      <c r="DLU2" s="55"/>
      <c r="DLV2" s="55"/>
      <c r="DLW2" s="55"/>
      <c r="DLX2" s="55"/>
      <c r="DLY2" s="55"/>
      <c r="DLZ2" s="55"/>
      <c r="DMA2" s="55"/>
      <c r="DMB2" s="55"/>
      <c r="DMC2" s="55"/>
      <c r="DMD2" s="55"/>
      <c r="DME2" s="55"/>
      <c r="DMF2" s="55"/>
      <c r="DMG2" s="55"/>
      <c r="DMH2" s="55"/>
      <c r="DMI2" s="55"/>
      <c r="DMJ2" s="55"/>
      <c r="DMK2" s="55"/>
      <c r="DML2" s="55"/>
      <c r="DMM2" s="55"/>
      <c r="DMN2" s="55"/>
      <c r="DMO2" s="55"/>
      <c r="DMP2" s="55"/>
      <c r="DMQ2" s="55"/>
      <c r="DMR2" s="55"/>
      <c r="DMS2" s="55"/>
      <c r="DMT2" s="55"/>
      <c r="DMU2" s="55"/>
      <c r="DMV2" s="55"/>
      <c r="DMW2" s="55"/>
      <c r="DMX2" s="55"/>
      <c r="DMY2" s="55"/>
      <c r="DMZ2" s="55"/>
      <c r="DNA2" s="55"/>
      <c r="DNB2" s="55"/>
      <c r="DNC2" s="55"/>
      <c r="DND2" s="55"/>
      <c r="DNE2" s="55"/>
      <c r="DNF2" s="55"/>
      <c r="DNG2" s="55"/>
      <c r="DNH2" s="55"/>
      <c r="DNI2" s="55"/>
      <c r="DNJ2" s="55"/>
      <c r="DNK2" s="55"/>
      <c r="DNL2" s="55"/>
      <c r="DNM2" s="55"/>
      <c r="DNN2" s="55"/>
      <c r="DNO2" s="55"/>
      <c r="DNP2" s="55"/>
      <c r="DNQ2" s="55"/>
      <c r="DNR2" s="55"/>
      <c r="DNS2" s="55"/>
      <c r="DNT2" s="55"/>
      <c r="DNU2" s="55"/>
      <c r="DNV2" s="55"/>
      <c r="DNW2" s="55"/>
      <c r="DNX2" s="55"/>
      <c r="DNY2" s="55"/>
      <c r="DNZ2" s="55"/>
      <c r="DOA2" s="55"/>
      <c r="DOB2" s="55"/>
      <c r="DOC2" s="55"/>
      <c r="DOD2" s="55"/>
      <c r="DOE2" s="55"/>
      <c r="DOF2" s="55"/>
      <c r="DOG2" s="55"/>
      <c r="DOH2" s="55"/>
      <c r="DOI2" s="55"/>
      <c r="DOJ2" s="55"/>
      <c r="DOK2" s="55"/>
      <c r="DOL2" s="55"/>
      <c r="DOM2" s="55"/>
      <c r="DON2" s="55"/>
      <c r="DOO2" s="55"/>
      <c r="DOP2" s="55"/>
      <c r="DOQ2" s="55"/>
      <c r="DOR2" s="55"/>
      <c r="DOS2" s="55"/>
      <c r="DOT2" s="55"/>
      <c r="DOU2" s="55"/>
      <c r="DOV2" s="55"/>
      <c r="DOW2" s="55"/>
      <c r="DOX2" s="55"/>
      <c r="DOY2" s="55"/>
      <c r="DOZ2" s="55"/>
      <c r="DPA2" s="55"/>
      <c r="DPB2" s="55"/>
      <c r="DPC2" s="55"/>
      <c r="DPD2" s="55"/>
      <c r="DPE2" s="55"/>
      <c r="DPF2" s="55"/>
      <c r="DPG2" s="55"/>
      <c r="DPH2" s="55"/>
      <c r="DPI2" s="55"/>
      <c r="DPJ2" s="55"/>
      <c r="DPK2" s="55"/>
      <c r="DPL2" s="55"/>
      <c r="DPM2" s="55"/>
      <c r="DPN2" s="55"/>
      <c r="DPO2" s="55"/>
      <c r="DPP2" s="55"/>
      <c r="DPQ2" s="55"/>
      <c r="DPR2" s="55"/>
      <c r="DPS2" s="55"/>
      <c r="DPT2" s="55"/>
      <c r="DPU2" s="55"/>
      <c r="DPV2" s="55"/>
      <c r="DPW2" s="55"/>
      <c r="DPX2" s="55"/>
      <c r="DPY2" s="55"/>
      <c r="DPZ2" s="55"/>
      <c r="DQA2" s="55"/>
      <c r="DQB2" s="55"/>
      <c r="DQC2" s="55"/>
      <c r="DQD2" s="55"/>
      <c r="DQE2" s="55"/>
      <c r="DQF2" s="55"/>
      <c r="DQG2" s="55"/>
      <c r="DQH2" s="55"/>
      <c r="DQI2" s="55"/>
      <c r="DQJ2" s="55"/>
      <c r="DQK2" s="55"/>
      <c r="DQL2" s="55"/>
      <c r="DQM2" s="55"/>
      <c r="DQN2" s="55"/>
      <c r="DQO2" s="55"/>
      <c r="DQP2" s="55"/>
      <c r="DQQ2" s="55"/>
      <c r="DQR2" s="55"/>
      <c r="DQS2" s="55"/>
      <c r="DQT2" s="55"/>
      <c r="DQU2" s="55"/>
      <c r="DQV2" s="55"/>
      <c r="DQW2" s="55"/>
      <c r="DQX2" s="55"/>
      <c r="DQY2" s="55"/>
      <c r="DQZ2" s="55"/>
      <c r="DRA2" s="55"/>
      <c r="DRB2" s="55"/>
      <c r="DRC2" s="55"/>
      <c r="DRD2" s="55"/>
      <c r="DRE2" s="55"/>
      <c r="DRF2" s="55"/>
      <c r="DRG2" s="55"/>
      <c r="DRH2" s="55"/>
      <c r="DRI2" s="55"/>
      <c r="DRJ2" s="55"/>
      <c r="DRK2" s="55"/>
      <c r="DRL2" s="55"/>
      <c r="DRM2" s="55"/>
      <c r="DRN2" s="55"/>
      <c r="DRO2" s="55"/>
      <c r="DRP2" s="55"/>
      <c r="DRQ2" s="55"/>
      <c r="DRR2" s="55"/>
      <c r="DRS2" s="55"/>
      <c r="DRT2" s="55"/>
      <c r="DRU2" s="55"/>
      <c r="DRV2" s="55"/>
      <c r="DRW2" s="55"/>
      <c r="DRX2" s="55"/>
      <c r="DRY2" s="55"/>
      <c r="DRZ2" s="55"/>
      <c r="DSA2" s="55"/>
      <c r="DSB2" s="55"/>
      <c r="DSC2" s="55"/>
      <c r="DSD2" s="55"/>
      <c r="DSE2" s="55"/>
      <c r="DSF2" s="55"/>
      <c r="DSG2" s="55"/>
      <c r="DSH2" s="55"/>
      <c r="DSI2" s="55"/>
      <c r="DSJ2" s="55"/>
      <c r="DSK2" s="55"/>
      <c r="DSL2" s="55"/>
      <c r="DSM2" s="55"/>
      <c r="DSN2" s="55"/>
      <c r="DSO2" s="55"/>
      <c r="DSP2" s="55"/>
      <c r="DSQ2" s="55"/>
      <c r="DSR2" s="55"/>
      <c r="DSS2" s="55"/>
      <c r="DST2" s="55"/>
      <c r="DSU2" s="55"/>
      <c r="DSV2" s="55"/>
      <c r="DSW2" s="55"/>
      <c r="DSX2" s="55"/>
      <c r="DSY2" s="55"/>
      <c r="DSZ2" s="55"/>
      <c r="DTA2" s="55"/>
      <c r="DTB2" s="55"/>
      <c r="DTC2" s="55"/>
      <c r="DTD2" s="55"/>
      <c r="DTE2" s="55"/>
      <c r="DTF2" s="55"/>
      <c r="DTG2" s="55"/>
      <c r="DTH2" s="55"/>
      <c r="DTI2" s="55"/>
      <c r="DTJ2" s="55"/>
      <c r="DTK2" s="55"/>
      <c r="DTL2" s="55"/>
      <c r="DTM2" s="55"/>
      <c r="DTN2" s="55"/>
      <c r="DTO2" s="55"/>
      <c r="DTP2" s="55"/>
      <c r="DTQ2" s="55"/>
      <c r="DTR2" s="55"/>
      <c r="DTS2" s="55"/>
      <c r="DTT2" s="55"/>
      <c r="DTU2" s="55"/>
      <c r="DTV2" s="55"/>
      <c r="DTW2" s="55"/>
      <c r="DTX2" s="55"/>
      <c r="DTY2" s="55"/>
      <c r="DTZ2" s="55"/>
      <c r="DUA2" s="55"/>
      <c r="DUB2" s="55"/>
      <c r="DUC2" s="55"/>
      <c r="DUD2" s="55"/>
      <c r="DUE2" s="55"/>
      <c r="DUF2" s="55"/>
      <c r="DUG2" s="55"/>
      <c r="DUH2" s="55"/>
      <c r="DUI2" s="55"/>
      <c r="DUJ2" s="55"/>
      <c r="DUK2" s="55"/>
      <c r="DUL2" s="55"/>
      <c r="DUM2" s="55"/>
      <c r="DUN2" s="55"/>
      <c r="DUO2" s="55"/>
      <c r="DUP2" s="55"/>
      <c r="DUQ2" s="55"/>
      <c r="DUR2" s="55"/>
      <c r="DUS2" s="55"/>
      <c r="DUT2" s="55"/>
      <c r="DUU2" s="55"/>
      <c r="DUV2" s="55"/>
      <c r="DUW2" s="55"/>
      <c r="DUX2" s="55"/>
      <c r="DUY2" s="55"/>
      <c r="DUZ2" s="55"/>
      <c r="DVA2" s="55"/>
      <c r="DVB2" s="55"/>
      <c r="DVC2" s="55"/>
      <c r="DVD2" s="55"/>
      <c r="DVE2" s="55"/>
      <c r="DVF2" s="55"/>
      <c r="DVG2" s="55"/>
      <c r="DVH2" s="55"/>
      <c r="DVI2" s="55"/>
      <c r="DVJ2" s="55"/>
      <c r="DVK2" s="55"/>
      <c r="DVL2" s="55"/>
      <c r="DVM2" s="55"/>
      <c r="DVN2" s="55"/>
      <c r="DVO2" s="55"/>
      <c r="DVP2" s="55"/>
      <c r="DVQ2" s="55"/>
      <c r="DVR2" s="55"/>
      <c r="DVS2" s="55"/>
      <c r="DVT2" s="55"/>
      <c r="DVU2" s="55"/>
      <c r="DVV2" s="55"/>
      <c r="DVW2" s="55"/>
      <c r="DVX2" s="55"/>
      <c r="DVY2" s="55"/>
      <c r="DVZ2" s="55"/>
      <c r="DWA2" s="55"/>
      <c r="DWB2" s="55"/>
      <c r="DWC2" s="55"/>
      <c r="DWD2" s="55"/>
      <c r="DWE2" s="55"/>
      <c r="DWF2" s="55"/>
      <c r="DWG2" s="55"/>
      <c r="DWH2" s="55"/>
      <c r="DWI2" s="55"/>
      <c r="DWJ2" s="55"/>
      <c r="DWK2" s="55"/>
      <c r="DWL2" s="55"/>
      <c r="DWM2" s="55"/>
      <c r="DWN2" s="55"/>
      <c r="DWO2" s="55"/>
      <c r="DWP2" s="55"/>
      <c r="DWQ2" s="55"/>
      <c r="DWR2" s="55"/>
      <c r="DWS2" s="55"/>
      <c r="DWT2" s="55"/>
      <c r="DWU2" s="55"/>
      <c r="DWV2" s="55"/>
      <c r="DWW2" s="55"/>
      <c r="DWX2" s="55"/>
      <c r="DWY2" s="55"/>
      <c r="DWZ2" s="55"/>
      <c r="DXA2" s="55"/>
      <c r="DXB2" s="55"/>
      <c r="DXC2" s="55"/>
      <c r="DXD2" s="55"/>
      <c r="DXE2" s="55"/>
      <c r="DXF2" s="55"/>
      <c r="DXG2" s="55"/>
      <c r="DXH2" s="55"/>
      <c r="DXI2" s="55"/>
      <c r="DXJ2" s="55"/>
      <c r="DXK2" s="55"/>
      <c r="DXL2" s="55"/>
      <c r="DXM2" s="55"/>
      <c r="DXN2" s="55"/>
      <c r="DXO2" s="55"/>
      <c r="DXP2" s="55"/>
      <c r="DXQ2" s="55"/>
      <c r="DXR2" s="55"/>
      <c r="DXS2" s="55"/>
      <c r="DXT2" s="55"/>
      <c r="DXU2" s="55"/>
      <c r="DXV2" s="55"/>
      <c r="DXW2" s="55"/>
      <c r="DXX2" s="55"/>
      <c r="DXY2" s="55"/>
      <c r="DXZ2" s="55"/>
      <c r="DYA2" s="55"/>
      <c r="DYB2" s="55"/>
      <c r="DYC2" s="55"/>
      <c r="DYD2" s="55"/>
      <c r="DYE2" s="55"/>
      <c r="DYF2" s="55"/>
      <c r="DYG2" s="55"/>
      <c r="DYH2" s="55"/>
      <c r="DYI2" s="55"/>
      <c r="DYJ2" s="55"/>
      <c r="DYK2" s="55"/>
      <c r="DYL2" s="55"/>
      <c r="DYM2" s="55"/>
      <c r="DYN2" s="55"/>
      <c r="DYO2" s="55"/>
      <c r="DYP2" s="55"/>
      <c r="DYQ2" s="55"/>
      <c r="DYR2" s="55"/>
      <c r="DYS2" s="55"/>
      <c r="DYT2" s="55"/>
      <c r="DYU2" s="55"/>
      <c r="DYV2" s="55"/>
      <c r="DYW2" s="55"/>
      <c r="DYX2" s="55"/>
      <c r="DYY2" s="55"/>
      <c r="DYZ2" s="55"/>
      <c r="DZA2" s="55"/>
      <c r="DZB2" s="55"/>
      <c r="DZC2" s="55"/>
      <c r="DZD2" s="55"/>
      <c r="DZE2" s="55"/>
      <c r="DZF2" s="55"/>
      <c r="DZG2" s="55"/>
      <c r="DZH2" s="55"/>
      <c r="DZI2" s="55"/>
      <c r="DZJ2" s="55"/>
      <c r="DZK2" s="55"/>
      <c r="DZL2" s="55"/>
      <c r="DZM2" s="55"/>
      <c r="DZN2" s="55"/>
      <c r="DZO2" s="55"/>
      <c r="DZP2" s="55"/>
      <c r="DZQ2" s="55"/>
      <c r="DZR2" s="55"/>
      <c r="DZS2" s="55"/>
      <c r="DZT2" s="55"/>
      <c r="DZU2" s="55"/>
      <c r="DZV2" s="55"/>
      <c r="DZW2" s="55"/>
      <c r="DZX2" s="55"/>
      <c r="DZY2" s="55"/>
      <c r="DZZ2" s="55"/>
      <c r="EAA2" s="55"/>
      <c r="EAB2" s="55"/>
      <c r="EAC2" s="55"/>
      <c r="EAD2" s="55"/>
      <c r="EAE2" s="55"/>
      <c r="EAF2" s="55"/>
      <c r="EAG2" s="55"/>
      <c r="EAH2" s="55"/>
      <c r="EAI2" s="55"/>
      <c r="EAJ2" s="55"/>
      <c r="EAK2" s="55"/>
      <c r="EAL2" s="55"/>
      <c r="EAM2" s="55"/>
      <c r="EAN2" s="55"/>
      <c r="EAO2" s="55"/>
      <c r="EAP2" s="55"/>
      <c r="EAQ2" s="55"/>
      <c r="EAR2" s="55"/>
      <c r="EAS2" s="55"/>
      <c r="EAT2" s="55"/>
      <c r="EAU2" s="55"/>
      <c r="EAV2" s="55"/>
      <c r="EAW2" s="55"/>
      <c r="EAX2" s="55"/>
      <c r="EAY2" s="55"/>
      <c r="EAZ2" s="55"/>
      <c r="EBA2" s="55"/>
      <c r="EBB2" s="55"/>
      <c r="EBC2" s="55"/>
      <c r="EBD2" s="55"/>
      <c r="EBE2" s="55"/>
      <c r="EBF2" s="55"/>
      <c r="EBG2" s="55"/>
      <c r="EBH2" s="55"/>
      <c r="EBI2" s="55"/>
      <c r="EBJ2" s="55"/>
      <c r="EBK2" s="55"/>
      <c r="EBL2" s="55"/>
      <c r="EBM2" s="55"/>
      <c r="EBN2" s="55"/>
      <c r="EBO2" s="55"/>
      <c r="EBP2" s="55"/>
      <c r="EBQ2" s="55"/>
      <c r="EBR2" s="55"/>
      <c r="EBS2" s="55"/>
      <c r="EBT2" s="55"/>
      <c r="EBU2" s="55"/>
      <c r="EBV2" s="55"/>
      <c r="EBW2" s="55"/>
      <c r="EBX2" s="55"/>
      <c r="EBY2" s="55"/>
      <c r="EBZ2" s="55"/>
      <c r="ECA2" s="55"/>
      <c r="ECB2" s="55"/>
      <c r="ECC2" s="55"/>
      <c r="ECD2" s="55"/>
      <c r="ECE2" s="55"/>
      <c r="ECF2" s="55"/>
      <c r="ECG2" s="55"/>
      <c r="ECH2" s="55"/>
      <c r="ECI2" s="55"/>
      <c r="ECJ2" s="55"/>
      <c r="ECK2" s="55"/>
      <c r="ECL2" s="55"/>
      <c r="ECM2" s="55"/>
      <c r="ECN2" s="55"/>
      <c r="ECO2" s="55"/>
      <c r="ECP2" s="55"/>
      <c r="ECQ2" s="55"/>
      <c r="ECR2" s="55"/>
      <c r="ECS2" s="55"/>
      <c r="ECT2" s="55"/>
      <c r="ECU2" s="55"/>
      <c r="ECV2" s="55"/>
      <c r="ECW2" s="55"/>
      <c r="ECX2" s="55"/>
      <c r="ECY2" s="55"/>
      <c r="ECZ2" s="55"/>
      <c r="EDA2" s="55"/>
      <c r="EDB2" s="55"/>
      <c r="EDC2" s="55"/>
      <c r="EDD2" s="55"/>
      <c r="EDE2" s="55"/>
      <c r="EDF2" s="55"/>
      <c r="EDG2" s="55"/>
      <c r="EDH2" s="55"/>
      <c r="EDI2" s="55"/>
      <c r="EDJ2" s="55"/>
      <c r="EDK2" s="55"/>
      <c r="EDL2" s="55"/>
      <c r="EDM2" s="55"/>
      <c r="EDN2" s="55"/>
      <c r="EDO2" s="55"/>
      <c r="EDP2" s="55"/>
      <c r="EDQ2" s="55"/>
      <c r="EDR2" s="55"/>
      <c r="EDS2" s="55"/>
      <c r="EDT2" s="55"/>
      <c r="EDU2" s="55"/>
      <c r="EDV2" s="55"/>
      <c r="EDW2" s="55"/>
      <c r="EDX2" s="55"/>
      <c r="EDY2" s="55"/>
      <c r="EDZ2" s="55"/>
      <c r="EEA2" s="55"/>
      <c r="EEB2" s="55"/>
      <c r="EEC2" s="55"/>
      <c r="EED2" s="55"/>
      <c r="EEE2" s="55"/>
      <c r="EEF2" s="55"/>
      <c r="EEG2" s="55"/>
      <c r="EEH2" s="55"/>
      <c r="EEI2" s="55"/>
      <c r="EEJ2" s="55"/>
      <c r="EEK2" s="55"/>
      <c r="EEL2" s="55"/>
      <c r="EEM2" s="55"/>
      <c r="EEN2" s="55"/>
      <c r="EEO2" s="55"/>
      <c r="EEP2" s="55"/>
      <c r="EEQ2" s="55"/>
      <c r="EER2" s="55"/>
      <c r="EES2" s="55"/>
      <c r="EET2" s="55"/>
      <c r="EEU2" s="55"/>
      <c r="EEV2" s="55"/>
      <c r="EEW2" s="55"/>
      <c r="EEX2" s="55"/>
      <c r="EEY2" s="55"/>
      <c r="EEZ2" s="55"/>
      <c r="EFA2" s="55"/>
      <c r="EFB2" s="55"/>
      <c r="EFC2" s="55"/>
      <c r="EFD2" s="55"/>
      <c r="EFE2" s="55"/>
      <c r="EFF2" s="55"/>
      <c r="EFG2" s="55"/>
      <c r="EFH2" s="55"/>
      <c r="EFI2" s="55"/>
      <c r="EFJ2" s="55"/>
      <c r="EFK2" s="55"/>
      <c r="EFL2" s="55"/>
      <c r="EFM2" s="55"/>
      <c r="EFN2" s="55"/>
      <c r="EFO2" s="55"/>
      <c r="EFP2" s="55"/>
      <c r="EFQ2" s="55"/>
      <c r="EFR2" s="55"/>
      <c r="EFS2" s="55"/>
      <c r="EFT2" s="55"/>
      <c r="EFU2" s="55"/>
      <c r="EFV2" s="55"/>
      <c r="EFW2" s="55"/>
      <c r="EFX2" s="55"/>
      <c r="EFY2" s="55"/>
      <c r="EFZ2" s="55"/>
      <c r="EGA2" s="55"/>
      <c r="EGB2" s="55"/>
      <c r="EGC2" s="55"/>
      <c r="EGD2" s="55"/>
      <c r="EGE2" s="55"/>
      <c r="EGF2" s="55"/>
      <c r="EGG2" s="55"/>
      <c r="EGH2" s="55"/>
      <c r="EGI2" s="55"/>
      <c r="EGJ2" s="55"/>
      <c r="EGK2" s="55"/>
      <c r="EGL2" s="55"/>
      <c r="EGM2" s="55"/>
      <c r="EGN2" s="55"/>
      <c r="EGO2" s="55"/>
      <c r="EGP2" s="55"/>
      <c r="EGQ2" s="55"/>
      <c r="EGR2" s="55"/>
      <c r="EGS2" s="55"/>
      <c r="EGT2" s="55"/>
      <c r="EGU2" s="55"/>
      <c r="EGV2" s="55"/>
      <c r="EGW2" s="55"/>
      <c r="EGX2" s="55"/>
      <c r="EGY2" s="55"/>
      <c r="EGZ2" s="55"/>
      <c r="EHA2" s="55"/>
      <c r="EHB2" s="55"/>
      <c r="EHC2" s="55"/>
      <c r="EHD2" s="55"/>
      <c r="EHE2" s="55"/>
      <c r="EHF2" s="55"/>
      <c r="EHG2" s="55"/>
      <c r="EHH2" s="55"/>
      <c r="EHI2" s="55"/>
      <c r="EHJ2" s="55"/>
      <c r="EHK2" s="55"/>
      <c r="EHL2" s="55"/>
      <c r="EHM2" s="55"/>
      <c r="EHN2" s="55"/>
      <c r="EHO2" s="55"/>
      <c r="EHP2" s="55"/>
      <c r="EHQ2" s="55"/>
      <c r="EHR2" s="55"/>
      <c r="EHS2" s="55"/>
      <c r="EHT2" s="55"/>
      <c r="EHU2" s="55"/>
      <c r="EHV2" s="55"/>
      <c r="EHW2" s="55"/>
      <c r="EHX2" s="55"/>
      <c r="EHY2" s="55"/>
      <c r="EHZ2" s="55"/>
      <c r="EIA2" s="55"/>
      <c r="EIB2" s="55"/>
      <c r="EIC2" s="55"/>
      <c r="EID2" s="55"/>
      <c r="EIE2" s="55"/>
      <c r="EIF2" s="55"/>
      <c r="EIG2" s="55"/>
      <c r="EIH2" s="55"/>
      <c r="EII2" s="55"/>
      <c r="EIJ2" s="55"/>
      <c r="EIK2" s="55"/>
      <c r="EIL2" s="55"/>
      <c r="EIM2" s="55"/>
      <c r="EIN2" s="55"/>
      <c r="EIO2" s="55"/>
      <c r="EIP2" s="55"/>
      <c r="EIQ2" s="55"/>
      <c r="EIR2" s="55"/>
      <c r="EIS2" s="55"/>
      <c r="EIT2" s="55"/>
      <c r="EIU2" s="55"/>
      <c r="EIV2" s="55"/>
      <c r="EIW2" s="55"/>
      <c r="EIX2" s="55"/>
      <c r="EIY2" s="55"/>
      <c r="EIZ2" s="55"/>
      <c r="EJA2" s="55"/>
      <c r="EJB2" s="55"/>
      <c r="EJC2" s="55"/>
      <c r="EJD2" s="55"/>
      <c r="EJE2" s="55"/>
      <c r="EJF2" s="55"/>
      <c r="EJG2" s="55"/>
      <c r="EJH2" s="55"/>
      <c r="EJI2" s="55"/>
      <c r="EJJ2" s="55"/>
      <c r="EJK2" s="55"/>
      <c r="EJL2" s="55"/>
      <c r="EJM2" s="55"/>
      <c r="EJN2" s="55"/>
      <c r="EJO2" s="55"/>
      <c r="EJP2" s="55"/>
      <c r="EJQ2" s="55"/>
      <c r="EJR2" s="55"/>
      <c r="EJS2" s="55"/>
      <c r="EJT2" s="55"/>
      <c r="EJU2" s="55"/>
      <c r="EJV2" s="55"/>
      <c r="EJW2" s="55"/>
      <c r="EJX2" s="55"/>
      <c r="EJY2" s="55"/>
      <c r="EJZ2" s="55"/>
      <c r="EKA2" s="55"/>
      <c r="EKB2" s="55"/>
      <c r="EKC2" s="55"/>
      <c r="EKD2" s="55"/>
      <c r="EKE2" s="55"/>
      <c r="EKF2" s="55"/>
      <c r="EKG2" s="55"/>
      <c r="EKH2" s="55"/>
      <c r="EKI2" s="55"/>
      <c r="EKJ2" s="55"/>
      <c r="EKK2" s="55"/>
      <c r="EKL2" s="55"/>
      <c r="EKM2" s="55"/>
      <c r="EKN2" s="55"/>
      <c r="EKO2" s="55"/>
      <c r="EKP2" s="55"/>
      <c r="EKQ2" s="55"/>
      <c r="EKR2" s="55"/>
      <c r="EKS2" s="55"/>
      <c r="EKT2" s="55"/>
      <c r="EKU2" s="55"/>
      <c r="EKV2" s="55"/>
      <c r="EKW2" s="55"/>
      <c r="EKX2" s="55"/>
      <c r="EKY2" s="55"/>
      <c r="EKZ2" s="55"/>
      <c r="ELA2" s="55"/>
      <c r="ELB2" s="55"/>
      <c r="ELC2" s="55"/>
      <c r="ELD2" s="55"/>
      <c r="ELE2" s="55"/>
      <c r="ELF2" s="55"/>
      <c r="ELG2" s="55"/>
      <c r="ELH2" s="55"/>
      <c r="ELI2" s="55"/>
      <c r="ELJ2" s="55"/>
      <c r="ELK2" s="55"/>
      <c r="ELL2" s="55"/>
      <c r="ELM2" s="55"/>
      <c r="ELN2" s="55"/>
      <c r="ELO2" s="55"/>
      <c r="ELP2" s="55"/>
      <c r="ELQ2" s="55"/>
      <c r="ELR2" s="55"/>
      <c r="ELS2" s="55"/>
      <c r="ELT2" s="55"/>
      <c r="ELU2" s="55"/>
      <c r="ELV2" s="55"/>
      <c r="ELW2" s="55"/>
      <c r="ELX2" s="55"/>
      <c r="ELY2" s="55"/>
      <c r="ELZ2" s="55"/>
      <c r="EMA2" s="55"/>
      <c r="EMB2" s="55"/>
      <c r="EMC2" s="55"/>
      <c r="EMD2" s="55"/>
      <c r="EME2" s="55"/>
      <c r="EMF2" s="55"/>
      <c r="EMG2" s="55"/>
      <c r="EMH2" s="55"/>
      <c r="EMI2" s="55"/>
      <c r="EMJ2" s="55"/>
      <c r="EMK2" s="55"/>
      <c r="EML2" s="55"/>
      <c r="EMM2" s="55"/>
      <c r="EMN2" s="55"/>
      <c r="EMO2" s="55"/>
      <c r="EMP2" s="55"/>
      <c r="EMQ2" s="55"/>
      <c r="EMR2" s="55"/>
      <c r="EMS2" s="55"/>
      <c r="EMT2" s="55"/>
      <c r="EMU2" s="55"/>
      <c r="EMV2" s="55"/>
      <c r="EMW2" s="55"/>
      <c r="EMX2" s="55"/>
      <c r="EMY2" s="55"/>
      <c r="EMZ2" s="55"/>
      <c r="ENA2" s="55"/>
      <c r="ENB2" s="55"/>
      <c r="ENC2" s="55"/>
      <c r="END2" s="55"/>
      <c r="ENE2" s="55"/>
      <c r="ENF2" s="55"/>
      <c r="ENG2" s="55"/>
      <c r="ENH2" s="55"/>
      <c r="ENI2" s="55"/>
      <c r="ENJ2" s="55"/>
      <c r="ENK2" s="55"/>
      <c r="ENL2" s="55"/>
      <c r="ENM2" s="55"/>
      <c r="ENN2" s="55"/>
      <c r="ENO2" s="55"/>
      <c r="ENP2" s="55"/>
      <c r="ENQ2" s="55"/>
      <c r="ENR2" s="55"/>
      <c r="ENS2" s="55"/>
      <c r="ENT2" s="55"/>
      <c r="ENU2" s="55"/>
      <c r="ENV2" s="55"/>
      <c r="ENW2" s="55"/>
      <c r="ENX2" s="55"/>
      <c r="ENY2" s="55"/>
      <c r="ENZ2" s="55"/>
      <c r="EOA2" s="55"/>
      <c r="EOB2" s="55"/>
      <c r="EOC2" s="55"/>
      <c r="EOD2" s="55"/>
      <c r="EOE2" s="55"/>
      <c r="EOF2" s="55"/>
      <c r="EOG2" s="55"/>
      <c r="EOH2" s="55"/>
      <c r="EOI2" s="55"/>
      <c r="EOJ2" s="55"/>
      <c r="EOK2" s="55"/>
      <c r="EOL2" s="55"/>
      <c r="EOM2" s="55"/>
      <c r="EON2" s="55"/>
      <c r="EOO2" s="55"/>
      <c r="EOP2" s="55"/>
      <c r="EOQ2" s="55"/>
      <c r="EOR2" s="55"/>
      <c r="EOS2" s="55"/>
      <c r="EOT2" s="55"/>
      <c r="EOU2" s="55"/>
      <c r="EOV2" s="55"/>
      <c r="EOW2" s="55"/>
      <c r="EOX2" s="55"/>
      <c r="EOY2" s="55"/>
      <c r="EOZ2" s="55"/>
      <c r="EPA2" s="55"/>
      <c r="EPB2" s="55"/>
      <c r="EPC2" s="55"/>
      <c r="EPD2" s="55"/>
      <c r="EPE2" s="55"/>
      <c r="EPF2" s="55"/>
      <c r="EPG2" s="55"/>
      <c r="EPH2" s="55"/>
      <c r="EPI2" s="55"/>
      <c r="EPJ2" s="55"/>
      <c r="EPK2" s="55"/>
      <c r="EPL2" s="55"/>
      <c r="EPM2" s="55"/>
      <c r="EPN2" s="55"/>
      <c r="EPO2" s="55"/>
      <c r="EPP2" s="55"/>
      <c r="EPQ2" s="55"/>
      <c r="EPR2" s="55"/>
      <c r="EPS2" s="55"/>
      <c r="EPT2" s="55"/>
      <c r="EPU2" s="55"/>
      <c r="EPV2" s="55"/>
      <c r="EPW2" s="55"/>
      <c r="EPX2" s="55"/>
      <c r="EPY2" s="55"/>
      <c r="EPZ2" s="55"/>
      <c r="EQA2" s="55"/>
      <c r="EQB2" s="55"/>
      <c r="EQC2" s="55"/>
      <c r="EQD2" s="55"/>
      <c r="EQE2" s="55"/>
      <c r="EQF2" s="55"/>
      <c r="EQG2" s="55"/>
      <c r="EQH2" s="55"/>
      <c r="EQI2" s="55"/>
      <c r="EQJ2" s="55"/>
      <c r="EQK2" s="55"/>
      <c r="EQL2" s="55"/>
      <c r="EQM2" s="55"/>
      <c r="EQN2" s="55"/>
      <c r="EQO2" s="55"/>
      <c r="EQP2" s="55"/>
      <c r="EQQ2" s="55"/>
      <c r="EQR2" s="55"/>
      <c r="EQS2" s="55"/>
      <c r="EQT2" s="55"/>
      <c r="EQU2" s="55"/>
      <c r="EQV2" s="55"/>
      <c r="EQW2" s="55"/>
      <c r="EQX2" s="55"/>
      <c r="EQY2" s="55"/>
      <c r="EQZ2" s="55"/>
      <c r="ERA2" s="55"/>
      <c r="ERB2" s="55"/>
      <c r="ERC2" s="55"/>
      <c r="ERD2" s="55"/>
      <c r="ERE2" s="55"/>
      <c r="ERF2" s="55"/>
      <c r="ERG2" s="55"/>
      <c r="ERH2" s="55"/>
      <c r="ERI2" s="55"/>
      <c r="ERJ2" s="55"/>
      <c r="ERK2" s="55"/>
      <c r="ERL2" s="55"/>
      <c r="ERM2" s="55"/>
      <c r="ERN2" s="55"/>
      <c r="ERO2" s="55"/>
      <c r="ERP2" s="55"/>
      <c r="ERQ2" s="55"/>
      <c r="ERR2" s="55"/>
      <c r="ERS2" s="55"/>
      <c r="ERT2" s="55"/>
      <c r="ERU2" s="55"/>
      <c r="ERV2" s="55"/>
      <c r="ERW2" s="55"/>
      <c r="ERX2" s="55"/>
      <c r="ERY2" s="55"/>
      <c r="ERZ2" s="55"/>
      <c r="ESA2" s="55"/>
      <c r="ESB2" s="55"/>
      <c r="ESC2" s="55"/>
      <c r="ESD2" s="55"/>
      <c r="ESE2" s="55"/>
      <c r="ESF2" s="55"/>
      <c r="ESG2" s="55"/>
      <c r="ESH2" s="55"/>
      <c r="ESI2" s="55"/>
      <c r="ESJ2" s="55"/>
      <c r="ESK2" s="55"/>
      <c r="ESL2" s="55"/>
      <c r="ESM2" s="55"/>
      <c r="ESN2" s="55"/>
      <c r="ESO2" s="55"/>
      <c r="ESP2" s="55"/>
      <c r="ESQ2" s="55"/>
      <c r="ESR2" s="55"/>
      <c r="ESS2" s="55"/>
      <c r="EST2" s="55"/>
      <c r="ESU2" s="55"/>
      <c r="ESV2" s="55"/>
      <c r="ESW2" s="55"/>
      <c r="ESX2" s="55"/>
      <c r="ESY2" s="55"/>
      <c r="ESZ2" s="55"/>
      <c r="ETA2" s="55"/>
      <c r="ETB2" s="55"/>
      <c r="ETC2" s="55"/>
      <c r="ETD2" s="55"/>
      <c r="ETE2" s="55"/>
      <c r="ETF2" s="55"/>
      <c r="ETG2" s="55"/>
      <c r="ETH2" s="55"/>
      <c r="ETI2" s="55"/>
      <c r="ETJ2" s="55"/>
      <c r="ETK2" s="55"/>
      <c r="ETL2" s="55"/>
      <c r="ETM2" s="55"/>
      <c r="ETN2" s="55"/>
      <c r="ETO2" s="55"/>
      <c r="ETP2" s="55"/>
      <c r="ETQ2" s="55"/>
      <c r="ETR2" s="55"/>
      <c r="ETS2" s="55"/>
      <c r="ETT2" s="55"/>
      <c r="ETU2" s="55"/>
      <c r="ETV2" s="55"/>
      <c r="ETW2" s="55"/>
      <c r="ETX2" s="55"/>
      <c r="ETY2" s="55"/>
      <c r="ETZ2" s="55"/>
      <c r="EUA2" s="55"/>
      <c r="EUB2" s="55"/>
      <c r="EUC2" s="55"/>
      <c r="EUD2" s="55"/>
      <c r="EUE2" s="55"/>
      <c r="EUF2" s="55"/>
      <c r="EUG2" s="55"/>
      <c r="EUH2" s="55"/>
      <c r="EUI2" s="55"/>
      <c r="EUJ2" s="55"/>
      <c r="EUK2" s="55"/>
      <c r="EUL2" s="55"/>
      <c r="EUM2" s="55"/>
      <c r="EUN2" s="55"/>
      <c r="EUO2" s="55"/>
      <c r="EUP2" s="55"/>
      <c r="EUQ2" s="55"/>
      <c r="EUR2" s="55"/>
      <c r="EUS2" s="55"/>
      <c r="EUT2" s="55"/>
      <c r="EUU2" s="55"/>
      <c r="EUV2" s="55"/>
      <c r="EUW2" s="55"/>
      <c r="EUX2" s="55"/>
      <c r="EUY2" s="55"/>
      <c r="EUZ2" s="55"/>
      <c r="EVA2" s="55"/>
      <c r="EVB2" s="55"/>
      <c r="EVC2" s="55"/>
      <c r="EVD2" s="55"/>
      <c r="EVE2" s="55"/>
      <c r="EVF2" s="55"/>
      <c r="EVG2" s="55"/>
      <c r="EVH2" s="55"/>
      <c r="EVI2" s="55"/>
      <c r="EVJ2" s="55"/>
      <c r="EVK2" s="55"/>
      <c r="EVL2" s="55"/>
      <c r="EVM2" s="55"/>
      <c r="EVN2" s="55"/>
      <c r="EVO2" s="55"/>
      <c r="EVP2" s="55"/>
      <c r="EVQ2" s="55"/>
      <c r="EVR2" s="55"/>
      <c r="EVS2" s="55"/>
      <c r="EVT2" s="55"/>
      <c r="EVU2" s="55"/>
      <c r="EVV2" s="55"/>
      <c r="EVW2" s="55"/>
      <c r="EVX2" s="55"/>
      <c r="EVY2" s="55"/>
      <c r="EVZ2" s="55"/>
      <c r="EWA2" s="55"/>
      <c r="EWB2" s="55"/>
      <c r="EWC2" s="55"/>
      <c r="EWD2" s="55"/>
      <c r="EWE2" s="55"/>
      <c r="EWF2" s="55"/>
      <c r="EWG2" s="55"/>
      <c r="EWH2" s="55"/>
      <c r="EWI2" s="55"/>
      <c r="EWJ2" s="55"/>
      <c r="EWK2" s="55"/>
      <c r="EWL2" s="55"/>
      <c r="EWM2" s="55"/>
      <c r="EWN2" s="55"/>
      <c r="EWO2" s="55"/>
      <c r="EWP2" s="55"/>
      <c r="EWQ2" s="55"/>
      <c r="EWR2" s="55"/>
      <c r="EWS2" s="55"/>
      <c r="EWT2" s="55"/>
      <c r="EWU2" s="55"/>
      <c r="EWV2" s="55"/>
      <c r="EWW2" s="55"/>
      <c r="EWX2" s="55"/>
      <c r="EWY2" s="55"/>
      <c r="EWZ2" s="55"/>
      <c r="EXA2" s="55"/>
      <c r="EXB2" s="55"/>
      <c r="EXC2" s="55"/>
      <c r="EXD2" s="55"/>
      <c r="EXE2" s="55"/>
      <c r="EXF2" s="55"/>
      <c r="EXG2" s="55"/>
      <c r="EXH2" s="55"/>
      <c r="EXI2" s="55"/>
      <c r="EXJ2" s="55"/>
      <c r="EXK2" s="55"/>
      <c r="EXL2" s="55"/>
      <c r="EXM2" s="55"/>
      <c r="EXN2" s="55"/>
      <c r="EXO2" s="55"/>
      <c r="EXP2" s="55"/>
      <c r="EXQ2" s="55"/>
      <c r="EXR2" s="55"/>
      <c r="EXS2" s="55"/>
      <c r="EXT2" s="55"/>
      <c r="EXU2" s="55"/>
      <c r="EXV2" s="55"/>
      <c r="EXW2" s="55"/>
      <c r="EXX2" s="55"/>
      <c r="EXY2" s="55"/>
      <c r="EXZ2" s="55"/>
      <c r="EYA2" s="55"/>
      <c r="EYB2" s="55"/>
      <c r="EYC2" s="55"/>
      <c r="EYD2" s="55"/>
      <c r="EYE2" s="55"/>
      <c r="EYF2" s="55"/>
      <c r="EYG2" s="55"/>
      <c r="EYH2" s="55"/>
      <c r="EYI2" s="55"/>
      <c r="EYJ2" s="55"/>
      <c r="EYK2" s="55"/>
      <c r="EYL2" s="55"/>
      <c r="EYM2" s="55"/>
      <c r="EYN2" s="55"/>
      <c r="EYO2" s="55"/>
      <c r="EYP2" s="55"/>
      <c r="EYQ2" s="55"/>
      <c r="EYR2" s="55"/>
      <c r="EYS2" s="55"/>
      <c r="EYT2" s="55"/>
      <c r="EYU2" s="55"/>
      <c r="EYV2" s="55"/>
      <c r="EYW2" s="55"/>
      <c r="EYX2" s="55"/>
      <c r="EYY2" s="55"/>
      <c r="EYZ2" s="55"/>
      <c r="EZA2" s="55"/>
      <c r="EZB2" s="55"/>
      <c r="EZC2" s="55"/>
      <c r="EZD2" s="55"/>
      <c r="EZE2" s="55"/>
      <c r="EZF2" s="55"/>
      <c r="EZG2" s="55"/>
      <c r="EZH2" s="55"/>
      <c r="EZI2" s="55"/>
      <c r="EZJ2" s="55"/>
      <c r="EZK2" s="55"/>
      <c r="EZL2" s="55"/>
      <c r="EZM2" s="55"/>
      <c r="EZN2" s="55"/>
      <c r="EZO2" s="55"/>
      <c r="EZP2" s="55"/>
      <c r="EZQ2" s="55"/>
      <c r="EZR2" s="55"/>
      <c r="EZS2" s="55"/>
      <c r="EZT2" s="55"/>
      <c r="EZU2" s="55"/>
      <c r="EZV2" s="55"/>
      <c r="EZW2" s="55"/>
      <c r="EZX2" s="55"/>
      <c r="EZY2" s="55"/>
      <c r="EZZ2" s="55"/>
      <c r="FAA2" s="55"/>
      <c r="FAB2" s="55"/>
      <c r="FAC2" s="55"/>
      <c r="FAD2" s="55"/>
      <c r="FAE2" s="55"/>
      <c r="FAF2" s="55"/>
      <c r="FAG2" s="55"/>
      <c r="FAH2" s="55"/>
      <c r="FAI2" s="55"/>
      <c r="FAJ2" s="55"/>
      <c r="FAK2" s="55"/>
      <c r="FAL2" s="55"/>
      <c r="FAM2" s="55"/>
      <c r="FAN2" s="55"/>
      <c r="FAO2" s="55"/>
      <c r="FAP2" s="55"/>
      <c r="FAQ2" s="55"/>
      <c r="FAR2" s="55"/>
      <c r="FAS2" s="55"/>
      <c r="FAT2" s="55"/>
      <c r="FAU2" s="55"/>
      <c r="FAV2" s="55"/>
      <c r="FAW2" s="55"/>
      <c r="FAX2" s="55"/>
      <c r="FAY2" s="55"/>
      <c r="FAZ2" s="55"/>
      <c r="FBA2" s="55"/>
      <c r="FBB2" s="55"/>
      <c r="FBC2" s="55"/>
      <c r="FBD2" s="55"/>
      <c r="FBE2" s="55"/>
      <c r="FBF2" s="55"/>
      <c r="FBG2" s="55"/>
      <c r="FBH2" s="55"/>
      <c r="FBI2" s="55"/>
      <c r="FBJ2" s="55"/>
      <c r="FBK2" s="55"/>
      <c r="FBL2" s="55"/>
      <c r="FBM2" s="55"/>
      <c r="FBN2" s="55"/>
      <c r="FBO2" s="55"/>
      <c r="FBP2" s="55"/>
      <c r="FBQ2" s="55"/>
      <c r="FBR2" s="55"/>
      <c r="FBS2" s="55"/>
      <c r="FBT2" s="55"/>
      <c r="FBU2" s="55"/>
      <c r="FBV2" s="55"/>
      <c r="FBW2" s="55"/>
      <c r="FBX2" s="55"/>
      <c r="FBY2" s="55"/>
      <c r="FBZ2" s="55"/>
      <c r="FCA2" s="55"/>
      <c r="FCB2" s="55"/>
      <c r="FCC2" s="55"/>
      <c r="FCD2" s="55"/>
      <c r="FCE2" s="55"/>
      <c r="FCF2" s="55"/>
      <c r="FCG2" s="55"/>
      <c r="FCH2" s="55"/>
      <c r="FCI2" s="55"/>
      <c r="FCJ2" s="55"/>
      <c r="FCK2" s="55"/>
      <c r="FCL2" s="55"/>
      <c r="FCM2" s="55"/>
      <c r="FCN2" s="55"/>
      <c r="FCO2" s="55"/>
      <c r="FCP2" s="55"/>
      <c r="FCQ2" s="55"/>
      <c r="FCR2" s="55"/>
      <c r="FCS2" s="55"/>
      <c r="FCT2" s="55"/>
      <c r="FCU2" s="55"/>
      <c r="FCV2" s="55"/>
      <c r="FCW2" s="55"/>
      <c r="FCX2" s="55"/>
      <c r="FCY2" s="55"/>
      <c r="FCZ2" s="55"/>
      <c r="FDA2" s="55"/>
      <c r="FDB2" s="55"/>
      <c r="FDC2" s="55"/>
      <c r="FDD2" s="55"/>
      <c r="FDE2" s="55"/>
      <c r="FDF2" s="55"/>
      <c r="FDG2" s="55"/>
      <c r="FDH2" s="55"/>
      <c r="FDI2" s="55"/>
      <c r="FDJ2" s="55"/>
      <c r="FDK2" s="55"/>
      <c r="FDL2" s="55"/>
      <c r="FDM2" s="55"/>
      <c r="FDN2" s="55"/>
      <c r="FDO2" s="55"/>
      <c r="FDP2" s="55"/>
      <c r="FDQ2" s="55"/>
      <c r="FDR2" s="55"/>
      <c r="FDS2" s="55"/>
      <c r="FDT2" s="55"/>
      <c r="FDU2" s="55"/>
      <c r="FDV2" s="55"/>
      <c r="FDW2" s="55"/>
      <c r="FDX2" s="55"/>
      <c r="FDY2" s="55"/>
      <c r="FDZ2" s="55"/>
      <c r="FEA2" s="55"/>
      <c r="FEB2" s="55"/>
      <c r="FEC2" s="55"/>
      <c r="FED2" s="55"/>
      <c r="FEE2" s="55"/>
      <c r="FEF2" s="55"/>
      <c r="FEG2" s="55"/>
      <c r="FEH2" s="55"/>
      <c r="FEI2" s="55"/>
      <c r="FEJ2" s="55"/>
      <c r="FEK2" s="55"/>
      <c r="FEL2" s="55"/>
      <c r="FEM2" s="55"/>
      <c r="FEN2" s="55"/>
      <c r="FEO2" s="55"/>
      <c r="FEP2" s="55"/>
      <c r="FEQ2" s="55"/>
      <c r="FER2" s="55"/>
      <c r="FES2" s="55"/>
      <c r="FET2" s="55"/>
      <c r="FEU2" s="55"/>
      <c r="FEV2" s="55"/>
      <c r="FEW2" s="55"/>
      <c r="FEX2" s="55"/>
      <c r="FEY2" s="55"/>
      <c r="FEZ2" s="55"/>
      <c r="FFA2" s="55"/>
      <c r="FFB2" s="55"/>
      <c r="FFC2" s="55"/>
      <c r="FFD2" s="55"/>
      <c r="FFE2" s="55"/>
      <c r="FFF2" s="55"/>
      <c r="FFG2" s="55"/>
      <c r="FFH2" s="55"/>
      <c r="FFI2" s="55"/>
      <c r="FFJ2" s="55"/>
      <c r="FFK2" s="55"/>
      <c r="FFL2" s="55"/>
      <c r="FFM2" s="55"/>
      <c r="FFN2" s="55"/>
      <c r="FFO2" s="55"/>
      <c r="FFP2" s="55"/>
      <c r="FFQ2" s="55"/>
      <c r="FFR2" s="55"/>
      <c r="FFS2" s="55"/>
      <c r="FFT2" s="55"/>
      <c r="FFU2" s="55"/>
      <c r="FFV2" s="55"/>
      <c r="FFW2" s="55"/>
      <c r="FFX2" s="55"/>
      <c r="FFY2" s="55"/>
      <c r="FFZ2" s="55"/>
      <c r="FGA2" s="55"/>
      <c r="FGB2" s="55"/>
      <c r="FGC2" s="55"/>
      <c r="FGD2" s="55"/>
      <c r="FGE2" s="55"/>
      <c r="FGF2" s="55"/>
      <c r="FGG2" s="55"/>
      <c r="FGH2" s="55"/>
      <c r="FGI2" s="55"/>
      <c r="FGJ2" s="55"/>
      <c r="FGK2" s="55"/>
      <c r="FGL2" s="55"/>
      <c r="FGM2" s="55"/>
      <c r="FGN2" s="55"/>
      <c r="FGO2" s="55"/>
      <c r="FGP2" s="55"/>
      <c r="FGQ2" s="55"/>
      <c r="FGR2" s="55"/>
      <c r="FGS2" s="55"/>
      <c r="FGT2" s="55"/>
      <c r="FGU2" s="55"/>
      <c r="FGV2" s="55"/>
      <c r="FGW2" s="55"/>
      <c r="FGX2" s="55"/>
      <c r="FGY2" s="55"/>
      <c r="FGZ2" s="55"/>
      <c r="FHA2" s="55"/>
      <c r="FHB2" s="55"/>
      <c r="FHC2" s="55"/>
      <c r="FHD2" s="55"/>
      <c r="FHE2" s="55"/>
      <c r="FHF2" s="55"/>
      <c r="FHG2" s="55"/>
      <c r="FHH2" s="55"/>
      <c r="FHI2" s="55"/>
      <c r="FHJ2" s="55"/>
      <c r="FHK2" s="55"/>
      <c r="FHL2" s="55"/>
      <c r="FHM2" s="55"/>
      <c r="FHN2" s="55"/>
      <c r="FHO2" s="55"/>
      <c r="FHP2" s="55"/>
      <c r="FHQ2" s="55"/>
      <c r="FHR2" s="55"/>
      <c r="FHS2" s="55"/>
      <c r="FHT2" s="55"/>
      <c r="FHU2" s="55"/>
      <c r="FHV2" s="55"/>
      <c r="FHW2" s="55"/>
      <c r="FHX2" s="55"/>
      <c r="FHY2" s="55"/>
      <c r="FHZ2" s="55"/>
      <c r="FIA2" s="55"/>
      <c r="FIB2" s="55"/>
      <c r="FIC2" s="55"/>
      <c r="FID2" s="55"/>
      <c r="FIE2" s="55"/>
      <c r="FIF2" s="55"/>
      <c r="FIG2" s="55"/>
      <c r="FIH2" s="55"/>
      <c r="FII2" s="55"/>
      <c r="FIJ2" s="55"/>
      <c r="FIK2" s="55"/>
      <c r="FIL2" s="55"/>
      <c r="FIM2" s="55"/>
      <c r="FIN2" s="55"/>
      <c r="FIO2" s="55"/>
      <c r="FIP2" s="55"/>
      <c r="FIQ2" s="55"/>
      <c r="FIR2" s="55"/>
      <c r="FIS2" s="55"/>
      <c r="FIT2" s="55"/>
      <c r="FIU2" s="55"/>
      <c r="FIV2" s="55"/>
      <c r="FIW2" s="55"/>
      <c r="FIX2" s="55"/>
      <c r="FIY2" s="55"/>
      <c r="FIZ2" s="55"/>
      <c r="FJA2" s="55"/>
      <c r="FJB2" s="55"/>
      <c r="FJC2" s="55"/>
      <c r="FJD2" s="55"/>
      <c r="FJE2" s="55"/>
      <c r="FJF2" s="55"/>
      <c r="FJG2" s="55"/>
      <c r="FJH2" s="55"/>
      <c r="FJI2" s="55"/>
      <c r="FJJ2" s="55"/>
      <c r="FJK2" s="55"/>
      <c r="FJL2" s="55"/>
      <c r="FJM2" s="55"/>
      <c r="FJN2" s="55"/>
      <c r="FJO2" s="55"/>
      <c r="FJP2" s="55"/>
      <c r="FJQ2" s="55"/>
      <c r="FJR2" s="55"/>
      <c r="FJS2" s="55"/>
      <c r="FJT2" s="55"/>
      <c r="FJU2" s="55"/>
      <c r="FJV2" s="55"/>
      <c r="FJW2" s="55"/>
      <c r="FJX2" s="55"/>
      <c r="FJY2" s="55"/>
      <c r="FJZ2" s="55"/>
      <c r="FKA2" s="55"/>
      <c r="FKB2" s="55"/>
      <c r="FKC2" s="55"/>
      <c r="FKD2" s="55"/>
      <c r="FKE2" s="55"/>
      <c r="FKF2" s="55"/>
      <c r="FKG2" s="55"/>
      <c r="FKH2" s="55"/>
      <c r="FKI2" s="55"/>
      <c r="FKJ2" s="55"/>
      <c r="FKK2" s="55"/>
      <c r="FKL2" s="55"/>
      <c r="FKM2" s="55"/>
      <c r="FKN2" s="55"/>
      <c r="FKO2" s="55"/>
      <c r="FKP2" s="55"/>
      <c r="FKQ2" s="55"/>
      <c r="FKR2" s="55"/>
      <c r="FKS2" s="55"/>
      <c r="FKT2" s="55"/>
      <c r="FKU2" s="55"/>
      <c r="FKV2" s="55"/>
      <c r="FKW2" s="55"/>
      <c r="FKX2" s="55"/>
      <c r="FKY2" s="55"/>
      <c r="FKZ2" s="55"/>
      <c r="FLA2" s="55"/>
      <c r="FLB2" s="55"/>
      <c r="FLC2" s="55"/>
      <c r="FLD2" s="55"/>
      <c r="FLE2" s="55"/>
      <c r="FLF2" s="55"/>
      <c r="FLG2" s="55"/>
      <c r="FLH2" s="55"/>
      <c r="FLI2" s="55"/>
      <c r="FLJ2" s="55"/>
      <c r="FLK2" s="55"/>
      <c r="FLL2" s="55"/>
      <c r="FLM2" s="55"/>
      <c r="FLN2" s="55"/>
      <c r="FLO2" s="55"/>
      <c r="FLP2" s="55"/>
      <c r="FLQ2" s="55"/>
      <c r="FLR2" s="55"/>
      <c r="FLS2" s="55"/>
      <c r="FLT2" s="55"/>
      <c r="FLU2" s="55"/>
      <c r="FLV2" s="55"/>
      <c r="FLW2" s="55"/>
      <c r="FLX2" s="55"/>
      <c r="FLY2" s="55"/>
      <c r="FLZ2" s="55"/>
      <c r="FMA2" s="55"/>
      <c r="FMB2" s="55"/>
      <c r="FMC2" s="55"/>
      <c r="FMD2" s="55"/>
      <c r="FME2" s="55"/>
      <c r="FMF2" s="55"/>
      <c r="FMG2" s="55"/>
      <c r="FMH2" s="55"/>
      <c r="FMI2" s="55"/>
      <c r="FMJ2" s="55"/>
      <c r="FMK2" s="55"/>
      <c r="FML2" s="55"/>
      <c r="FMM2" s="55"/>
      <c r="FMN2" s="55"/>
      <c r="FMO2" s="55"/>
      <c r="FMP2" s="55"/>
      <c r="FMQ2" s="55"/>
      <c r="FMR2" s="55"/>
      <c r="FMS2" s="55"/>
      <c r="FMT2" s="55"/>
      <c r="FMU2" s="55"/>
      <c r="FMV2" s="55"/>
      <c r="FMW2" s="55"/>
      <c r="FMX2" s="55"/>
      <c r="FMY2" s="55"/>
      <c r="FMZ2" s="55"/>
      <c r="FNA2" s="55"/>
      <c r="FNB2" s="55"/>
      <c r="FNC2" s="55"/>
      <c r="FND2" s="55"/>
      <c r="FNE2" s="55"/>
      <c r="FNF2" s="55"/>
      <c r="FNG2" s="55"/>
      <c r="FNH2" s="55"/>
      <c r="FNI2" s="55"/>
      <c r="FNJ2" s="55"/>
      <c r="FNK2" s="55"/>
      <c r="FNL2" s="55"/>
      <c r="FNM2" s="55"/>
      <c r="FNN2" s="55"/>
      <c r="FNO2" s="55"/>
      <c r="FNP2" s="55"/>
      <c r="FNQ2" s="55"/>
      <c r="FNR2" s="55"/>
      <c r="FNS2" s="55"/>
      <c r="FNT2" s="55"/>
      <c r="FNU2" s="55"/>
      <c r="FNV2" s="55"/>
      <c r="FNW2" s="55"/>
      <c r="FNX2" s="55"/>
      <c r="FNY2" s="55"/>
      <c r="FNZ2" s="55"/>
      <c r="FOA2" s="55"/>
      <c r="FOB2" s="55"/>
      <c r="FOC2" s="55"/>
      <c r="FOD2" s="55"/>
      <c r="FOE2" s="55"/>
      <c r="FOF2" s="55"/>
      <c r="FOG2" s="55"/>
      <c r="FOH2" s="55"/>
      <c r="FOI2" s="55"/>
      <c r="FOJ2" s="55"/>
      <c r="FOK2" s="55"/>
      <c r="FOL2" s="55"/>
      <c r="FOM2" s="55"/>
      <c r="FON2" s="55"/>
      <c r="FOO2" s="55"/>
      <c r="FOP2" s="55"/>
      <c r="FOQ2" s="55"/>
      <c r="FOR2" s="55"/>
      <c r="FOS2" s="55"/>
      <c r="FOT2" s="55"/>
      <c r="FOU2" s="55"/>
      <c r="FOV2" s="55"/>
      <c r="FOW2" s="55"/>
      <c r="FOX2" s="55"/>
      <c r="FOY2" s="55"/>
      <c r="FOZ2" s="55"/>
      <c r="FPA2" s="55"/>
      <c r="FPB2" s="55"/>
      <c r="FPC2" s="55"/>
      <c r="FPD2" s="55"/>
      <c r="FPE2" s="55"/>
      <c r="FPF2" s="55"/>
      <c r="FPG2" s="55"/>
      <c r="FPH2" s="55"/>
      <c r="FPI2" s="55"/>
      <c r="FPJ2" s="55"/>
      <c r="FPK2" s="55"/>
      <c r="FPL2" s="55"/>
      <c r="FPM2" s="55"/>
      <c r="FPN2" s="55"/>
      <c r="FPO2" s="55"/>
      <c r="FPP2" s="55"/>
      <c r="FPQ2" s="55"/>
      <c r="FPR2" s="55"/>
      <c r="FPS2" s="55"/>
      <c r="FPT2" s="55"/>
      <c r="FPU2" s="55"/>
      <c r="FPV2" s="55"/>
      <c r="FPW2" s="55"/>
      <c r="FPX2" s="55"/>
      <c r="FPY2" s="55"/>
      <c r="FPZ2" s="55"/>
      <c r="FQA2" s="55"/>
      <c r="FQB2" s="55"/>
      <c r="FQC2" s="55"/>
      <c r="FQD2" s="55"/>
      <c r="FQE2" s="55"/>
      <c r="FQF2" s="55"/>
      <c r="FQG2" s="55"/>
      <c r="FQH2" s="55"/>
      <c r="FQI2" s="55"/>
      <c r="FQJ2" s="55"/>
      <c r="FQK2" s="55"/>
      <c r="FQL2" s="55"/>
      <c r="FQM2" s="55"/>
      <c r="FQN2" s="55"/>
      <c r="FQO2" s="55"/>
      <c r="FQP2" s="55"/>
      <c r="FQQ2" s="55"/>
      <c r="FQR2" s="55"/>
      <c r="FQS2" s="55"/>
      <c r="FQT2" s="55"/>
      <c r="FQU2" s="55"/>
      <c r="FQV2" s="55"/>
      <c r="FQW2" s="55"/>
      <c r="FQX2" s="55"/>
      <c r="FQY2" s="55"/>
      <c r="FQZ2" s="55"/>
      <c r="FRA2" s="55"/>
      <c r="FRB2" s="55"/>
      <c r="FRC2" s="55"/>
      <c r="FRD2" s="55"/>
      <c r="FRE2" s="55"/>
      <c r="FRF2" s="55"/>
      <c r="FRG2" s="55"/>
      <c r="FRH2" s="55"/>
      <c r="FRI2" s="55"/>
      <c r="FRJ2" s="55"/>
      <c r="FRK2" s="55"/>
      <c r="FRL2" s="55"/>
      <c r="FRM2" s="55"/>
      <c r="FRN2" s="55"/>
      <c r="FRO2" s="55"/>
      <c r="FRP2" s="55"/>
      <c r="FRQ2" s="55"/>
      <c r="FRR2" s="55"/>
      <c r="FRS2" s="55"/>
      <c r="FRT2" s="55"/>
      <c r="FRU2" s="55"/>
      <c r="FRV2" s="55"/>
      <c r="FRW2" s="55"/>
      <c r="FRX2" s="55"/>
      <c r="FRY2" s="55"/>
      <c r="FRZ2" s="55"/>
      <c r="FSA2" s="55"/>
      <c r="FSB2" s="55"/>
      <c r="FSC2" s="55"/>
      <c r="FSD2" s="55"/>
      <c r="FSE2" s="55"/>
      <c r="FSF2" s="55"/>
      <c r="FSG2" s="55"/>
      <c r="FSH2" s="55"/>
      <c r="FSI2" s="55"/>
      <c r="FSJ2" s="55"/>
      <c r="FSK2" s="55"/>
      <c r="FSL2" s="55"/>
      <c r="FSM2" s="55"/>
      <c r="FSN2" s="55"/>
      <c r="FSO2" s="55"/>
      <c r="FSP2" s="55"/>
      <c r="FSQ2" s="55"/>
      <c r="FSR2" s="55"/>
      <c r="FSS2" s="55"/>
      <c r="FST2" s="55"/>
      <c r="FSU2" s="55"/>
      <c r="FSV2" s="55"/>
      <c r="FSW2" s="55"/>
      <c r="FSX2" s="55"/>
      <c r="FSY2" s="55"/>
      <c r="FSZ2" s="55"/>
      <c r="FTA2" s="55"/>
      <c r="FTB2" s="55"/>
      <c r="FTC2" s="55"/>
      <c r="FTD2" s="55"/>
      <c r="FTE2" s="55"/>
      <c r="FTF2" s="55"/>
      <c r="FTG2" s="55"/>
      <c r="FTH2" s="55"/>
      <c r="FTI2" s="55"/>
      <c r="FTJ2" s="55"/>
      <c r="FTK2" s="55"/>
      <c r="FTL2" s="55"/>
      <c r="FTM2" s="55"/>
      <c r="FTN2" s="55"/>
      <c r="FTO2" s="55"/>
      <c r="FTP2" s="55"/>
      <c r="FTQ2" s="55"/>
      <c r="FTR2" s="55"/>
      <c r="FTS2" s="55"/>
      <c r="FTT2" s="55"/>
      <c r="FTU2" s="55"/>
      <c r="FTV2" s="55"/>
      <c r="FTW2" s="55"/>
      <c r="FTX2" s="55"/>
      <c r="FTY2" s="55"/>
      <c r="FTZ2" s="55"/>
      <c r="FUA2" s="55"/>
      <c r="FUB2" s="55"/>
      <c r="FUC2" s="55"/>
      <c r="FUD2" s="55"/>
      <c r="FUE2" s="55"/>
      <c r="FUF2" s="55"/>
      <c r="FUG2" s="55"/>
      <c r="FUH2" s="55"/>
      <c r="FUI2" s="55"/>
      <c r="FUJ2" s="55"/>
      <c r="FUK2" s="55"/>
      <c r="FUL2" s="55"/>
      <c r="FUM2" s="55"/>
      <c r="FUN2" s="55"/>
      <c r="FUO2" s="55"/>
      <c r="FUP2" s="55"/>
      <c r="FUQ2" s="55"/>
      <c r="FUR2" s="55"/>
      <c r="FUS2" s="55"/>
      <c r="FUT2" s="55"/>
      <c r="FUU2" s="55"/>
      <c r="FUV2" s="55"/>
      <c r="FUW2" s="55"/>
      <c r="FUX2" s="55"/>
      <c r="FUY2" s="55"/>
      <c r="FUZ2" s="55"/>
      <c r="FVA2" s="55"/>
      <c r="FVB2" s="55"/>
      <c r="FVC2" s="55"/>
      <c r="FVD2" s="55"/>
      <c r="FVE2" s="55"/>
      <c r="FVF2" s="55"/>
      <c r="FVG2" s="55"/>
      <c r="FVH2" s="55"/>
      <c r="FVI2" s="55"/>
      <c r="FVJ2" s="55"/>
      <c r="FVK2" s="55"/>
      <c r="FVL2" s="55"/>
      <c r="FVM2" s="55"/>
      <c r="FVN2" s="55"/>
      <c r="FVO2" s="55"/>
      <c r="FVP2" s="55"/>
      <c r="FVQ2" s="55"/>
      <c r="FVR2" s="55"/>
      <c r="FVS2" s="55"/>
      <c r="FVT2" s="55"/>
      <c r="FVU2" s="55"/>
      <c r="FVV2" s="55"/>
      <c r="FVW2" s="55"/>
      <c r="FVX2" s="55"/>
      <c r="FVY2" s="55"/>
      <c r="FVZ2" s="55"/>
      <c r="FWA2" s="55"/>
      <c r="FWB2" s="55"/>
      <c r="FWC2" s="55"/>
      <c r="FWD2" s="55"/>
      <c r="FWE2" s="55"/>
      <c r="FWF2" s="55"/>
      <c r="FWG2" s="55"/>
      <c r="FWH2" s="55"/>
      <c r="FWI2" s="55"/>
      <c r="FWJ2" s="55"/>
      <c r="FWK2" s="55"/>
      <c r="FWL2" s="55"/>
      <c r="FWM2" s="55"/>
      <c r="FWN2" s="55"/>
      <c r="FWO2" s="55"/>
      <c r="FWP2" s="55"/>
      <c r="FWQ2" s="55"/>
      <c r="FWR2" s="55"/>
      <c r="FWS2" s="55"/>
      <c r="FWT2" s="55"/>
      <c r="FWU2" s="55"/>
      <c r="FWV2" s="55"/>
      <c r="FWW2" s="55"/>
      <c r="FWX2" s="55"/>
      <c r="FWY2" s="55"/>
      <c r="FWZ2" s="55"/>
      <c r="FXA2" s="55"/>
      <c r="FXB2" s="55"/>
      <c r="FXC2" s="55"/>
      <c r="FXD2" s="55"/>
      <c r="FXE2" s="55"/>
      <c r="FXF2" s="55"/>
      <c r="FXG2" s="55"/>
      <c r="FXH2" s="55"/>
      <c r="FXI2" s="55"/>
      <c r="FXJ2" s="55"/>
      <c r="FXK2" s="55"/>
      <c r="FXL2" s="55"/>
      <c r="FXM2" s="55"/>
      <c r="FXN2" s="55"/>
      <c r="FXO2" s="55"/>
      <c r="FXP2" s="55"/>
      <c r="FXQ2" s="55"/>
      <c r="FXR2" s="55"/>
      <c r="FXS2" s="55"/>
      <c r="FXT2" s="55"/>
      <c r="FXU2" s="55"/>
      <c r="FXV2" s="55"/>
      <c r="FXW2" s="55"/>
      <c r="FXX2" s="55"/>
      <c r="FXY2" s="55"/>
      <c r="FXZ2" s="55"/>
      <c r="FYA2" s="55"/>
      <c r="FYB2" s="55"/>
      <c r="FYC2" s="55"/>
      <c r="FYD2" s="55"/>
      <c r="FYE2" s="55"/>
      <c r="FYF2" s="55"/>
      <c r="FYG2" s="55"/>
      <c r="FYH2" s="55"/>
      <c r="FYI2" s="55"/>
      <c r="FYJ2" s="55"/>
      <c r="FYK2" s="55"/>
      <c r="FYL2" s="55"/>
      <c r="FYM2" s="55"/>
      <c r="FYN2" s="55"/>
      <c r="FYO2" s="55"/>
      <c r="FYP2" s="55"/>
      <c r="FYQ2" s="55"/>
      <c r="FYR2" s="55"/>
      <c r="FYS2" s="55"/>
      <c r="FYT2" s="55"/>
      <c r="FYU2" s="55"/>
      <c r="FYV2" s="55"/>
      <c r="FYW2" s="55"/>
      <c r="FYX2" s="55"/>
      <c r="FYY2" s="55"/>
      <c r="FYZ2" s="55"/>
      <c r="FZA2" s="55"/>
      <c r="FZB2" s="55"/>
      <c r="FZC2" s="55"/>
      <c r="FZD2" s="55"/>
      <c r="FZE2" s="55"/>
      <c r="FZF2" s="55"/>
      <c r="FZG2" s="55"/>
      <c r="FZH2" s="55"/>
      <c r="FZI2" s="55"/>
      <c r="FZJ2" s="55"/>
      <c r="FZK2" s="55"/>
      <c r="FZL2" s="55"/>
      <c r="FZM2" s="55"/>
      <c r="FZN2" s="55"/>
      <c r="FZO2" s="55"/>
      <c r="FZP2" s="55"/>
      <c r="FZQ2" s="55"/>
      <c r="FZR2" s="55"/>
      <c r="FZS2" s="55"/>
      <c r="FZT2" s="55"/>
      <c r="FZU2" s="55"/>
      <c r="FZV2" s="55"/>
      <c r="FZW2" s="55"/>
      <c r="FZX2" s="55"/>
      <c r="FZY2" s="55"/>
      <c r="FZZ2" s="55"/>
      <c r="GAA2" s="55"/>
      <c r="GAB2" s="55"/>
      <c r="GAC2" s="55"/>
      <c r="GAD2" s="55"/>
      <c r="GAE2" s="55"/>
      <c r="GAF2" s="55"/>
      <c r="GAG2" s="55"/>
      <c r="GAH2" s="55"/>
      <c r="GAI2" s="55"/>
      <c r="GAJ2" s="55"/>
      <c r="GAK2" s="55"/>
      <c r="GAL2" s="55"/>
      <c r="GAM2" s="55"/>
      <c r="GAN2" s="55"/>
      <c r="GAO2" s="55"/>
      <c r="GAP2" s="55"/>
      <c r="GAQ2" s="55"/>
      <c r="GAR2" s="55"/>
      <c r="GAS2" s="55"/>
      <c r="GAT2" s="55"/>
      <c r="GAU2" s="55"/>
      <c r="GAV2" s="55"/>
      <c r="GAW2" s="55"/>
      <c r="GAX2" s="55"/>
      <c r="GAY2" s="55"/>
      <c r="GAZ2" s="55"/>
      <c r="GBA2" s="55"/>
      <c r="GBB2" s="55"/>
      <c r="GBC2" s="55"/>
      <c r="GBD2" s="55"/>
      <c r="GBE2" s="55"/>
      <c r="GBF2" s="55"/>
      <c r="GBG2" s="55"/>
      <c r="GBH2" s="55"/>
      <c r="GBI2" s="55"/>
      <c r="GBJ2" s="55"/>
      <c r="GBK2" s="55"/>
      <c r="GBL2" s="55"/>
      <c r="GBM2" s="55"/>
      <c r="GBN2" s="55"/>
      <c r="GBO2" s="55"/>
      <c r="GBP2" s="55"/>
      <c r="GBQ2" s="55"/>
      <c r="GBR2" s="55"/>
      <c r="GBS2" s="55"/>
      <c r="GBT2" s="55"/>
      <c r="GBU2" s="55"/>
      <c r="GBV2" s="55"/>
      <c r="GBW2" s="55"/>
      <c r="GBX2" s="55"/>
      <c r="GBY2" s="55"/>
      <c r="GBZ2" s="55"/>
      <c r="GCA2" s="55"/>
      <c r="GCB2" s="55"/>
      <c r="GCC2" s="55"/>
      <c r="GCD2" s="55"/>
      <c r="GCE2" s="55"/>
      <c r="GCF2" s="55"/>
      <c r="GCG2" s="55"/>
      <c r="GCH2" s="55"/>
      <c r="GCI2" s="55"/>
      <c r="GCJ2" s="55"/>
      <c r="GCK2" s="55"/>
      <c r="GCL2" s="55"/>
      <c r="GCM2" s="55"/>
      <c r="GCN2" s="55"/>
      <c r="GCO2" s="55"/>
      <c r="GCP2" s="55"/>
      <c r="GCQ2" s="55"/>
      <c r="GCR2" s="55"/>
      <c r="GCS2" s="55"/>
      <c r="GCT2" s="55"/>
      <c r="GCU2" s="55"/>
      <c r="GCV2" s="55"/>
      <c r="GCW2" s="55"/>
      <c r="GCX2" s="55"/>
      <c r="GCY2" s="55"/>
      <c r="GCZ2" s="55"/>
      <c r="GDA2" s="55"/>
      <c r="GDB2" s="55"/>
      <c r="GDC2" s="55"/>
      <c r="GDD2" s="55"/>
      <c r="GDE2" s="55"/>
      <c r="GDF2" s="55"/>
      <c r="GDG2" s="55"/>
      <c r="GDH2" s="55"/>
      <c r="GDI2" s="55"/>
      <c r="GDJ2" s="55"/>
      <c r="GDK2" s="55"/>
      <c r="GDL2" s="55"/>
      <c r="GDM2" s="55"/>
      <c r="GDN2" s="55"/>
      <c r="GDO2" s="55"/>
      <c r="GDP2" s="55"/>
      <c r="GDQ2" s="55"/>
      <c r="GDR2" s="55"/>
      <c r="GDS2" s="55"/>
      <c r="GDT2" s="55"/>
      <c r="GDU2" s="55"/>
      <c r="GDV2" s="55"/>
      <c r="GDW2" s="55"/>
      <c r="GDX2" s="55"/>
      <c r="GDY2" s="55"/>
      <c r="GDZ2" s="55"/>
      <c r="GEA2" s="55"/>
      <c r="GEB2" s="55"/>
      <c r="GEC2" s="55"/>
      <c r="GED2" s="55"/>
      <c r="GEE2" s="55"/>
      <c r="GEF2" s="55"/>
      <c r="GEG2" s="55"/>
      <c r="GEH2" s="55"/>
      <c r="GEI2" s="55"/>
      <c r="GEJ2" s="55"/>
      <c r="GEK2" s="55"/>
      <c r="GEL2" s="55"/>
      <c r="GEM2" s="55"/>
      <c r="GEN2" s="55"/>
      <c r="GEO2" s="55"/>
      <c r="GEP2" s="55"/>
      <c r="GEQ2" s="55"/>
      <c r="GER2" s="55"/>
      <c r="GES2" s="55"/>
      <c r="GET2" s="55"/>
      <c r="GEU2" s="55"/>
      <c r="GEV2" s="55"/>
      <c r="GEW2" s="55"/>
      <c r="GEX2" s="55"/>
      <c r="GEY2" s="55"/>
      <c r="GEZ2" s="55"/>
      <c r="GFA2" s="55"/>
      <c r="GFB2" s="55"/>
      <c r="GFC2" s="55"/>
      <c r="GFD2" s="55"/>
      <c r="GFE2" s="55"/>
      <c r="GFF2" s="55"/>
      <c r="GFG2" s="55"/>
      <c r="GFH2" s="55"/>
      <c r="GFI2" s="55"/>
      <c r="GFJ2" s="55"/>
      <c r="GFK2" s="55"/>
      <c r="GFL2" s="55"/>
      <c r="GFM2" s="55"/>
      <c r="GFN2" s="55"/>
      <c r="GFO2" s="55"/>
      <c r="GFP2" s="55"/>
      <c r="GFQ2" s="55"/>
      <c r="GFR2" s="55"/>
      <c r="GFS2" s="55"/>
      <c r="GFT2" s="55"/>
      <c r="GFU2" s="55"/>
      <c r="GFV2" s="55"/>
      <c r="GFW2" s="55"/>
      <c r="GFX2" s="55"/>
      <c r="GFY2" s="55"/>
      <c r="GFZ2" s="55"/>
      <c r="GGA2" s="55"/>
      <c r="GGB2" s="55"/>
      <c r="GGC2" s="55"/>
      <c r="GGD2" s="55"/>
      <c r="GGE2" s="55"/>
      <c r="GGF2" s="55"/>
      <c r="GGG2" s="55"/>
      <c r="GGH2" s="55"/>
      <c r="GGI2" s="55"/>
      <c r="GGJ2" s="55"/>
      <c r="GGK2" s="55"/>
      <c r="GGL2" s="55"/>
      <c r="GGM2" s="55"/>
      <c r="GGN2" s="55"/>
      <c r="GGO2" s="55"/>
      <c r="GGP2" s="55"/>
      <c r="GGQ2" s="55"/>
      <c r="GGR2" s="55"/>
      <c r="GGS2" s="55"/>
      <c r="GGT2" s="55"/>
      <c r="GGU2" s="55"/>
      <c r="GGV2" s="55"/>
      <c r="GGW2" s="55"/>
      <c r="GGX2" s="55"/>
      <c r="GGY2" s="55"/>
      <c r="GGZ2" s="55"/>
      <c r="GHA2" s="55"/>
      <c r="GHB2" s="55"/>
      <c r="GHC2" s="55"/>
      <c r="GHD2" s="55"/>
      <c r="GHE2" s="55"/>
      <c r="GHF2" s="55"/>
      <c r="GHG2" s="55"/>
      <c r="GHH2" s="55"/>
      <c r="GHI2" s="55"/>
      <c r="GHJ2" s="55"/>
      <c r="GHK2" s="55"/>
      <c r="GHL2" s="55"/>
      <c r="GHM2" s="55"/>
      <c r="GHN2" s="55"/>
      <c r="GHO2" s="55"/>
      <c r="GHP2" s="55"/>
      <c r="GHQ2" s="55"/>
      <c r="GHR2" s="55"/>
      <c r="GHS2" s="55"/>
      <c r="GHT2" s="55"/>
      <c r="GHU2" s="55"/>
      <c r="GHV2" s="55"/>
      <c r="GHW2" s="55"/>
      <c r="GHX2" s="55"/>
      <c r="GHY2" s="55"/>
      <c r="GHZ2" s="55"/>
      <c r="GIA2" s="55"/>
      <c r="GIB2" s="55"/>
      <c r="GIC2" s="55"/>
      <c r="GID2" s="55"/>
      <c r="GIE2" s="55"/>
      <c r="GIF2" s="55"/>
      <c r="GIG2" s="55"/>
      <c r="GIH2" s="55"/>
      <c r="GII2" s="55"/>
      <c r="GIJ2" s="55"/>
      <c r="GIK2" s="55"/>
      <c r="GIL2" s="55"/>
      <c r="GIM2" s="55"/>
      <c r="GIN2" s="55"/>
      <c r="GIO2" s="55"/>
      <c r="GIP2" s="55"/>
      <c r="GIQ2" s="55"/>
      <c r="GIR2" s="55"/>
      <c r="GIS2" s="55"/>
      <c r="GIT2" s="55"/>
      <c r="GIU2" s="55"/>
      <c r="GIV2" s="55"/>
      <c r="GIW2" s="55"/>
      <c r="GIX2" s="55"/>
      <c r="GIY2" s="55"/>
      <c r="GIZ2" s="55"/>
      <c r="GJA2" s="55"/>
      <c r="GJB2" s="55"/>
      <c r="GJC2" s="55"/>
      <c r="GJD2" s="55"/>
      <c r="GJE2" s="55"/>
      <c r="GJF2" s="55"/>
      <c r="GJG2" s="55"/>
      <c r="GJH2" s="55"/>
      <c r="GJI2" s="55"/>
      <c r="GJJ2" s="55"/>
      <c r="GJK2" s="55"/>
      <c r="GJL2" s="55"/>
      <c r="GJM2" s="55"/>
      <c r="GJN2" s="55"/>
      <c r="GJO2" s="55"/>
      <c r="GJP2" s="55"/>
      <c r="GJQ2" s="55"/>
      <c r="GJR2" s="55"/>
      <c r="GJS2" s="55"/>
      <c r="GJT2" s="55"/>
      <c r="GJU2" s="55"/>
      <c r="GJV2" s="55"/>
      <c r="GJW2" s="55"/>
      <c r="GJX2" s="55"/>
      <c r="GJY2" s="55"/>
      <c r="GJZ2" s="55"/>
      <c r="GKA2" s="55"/>
      <c r="GKB2" s="55"/>
      <c r="GKC2" s="55"/>
      <c r="GKD2" s="55"/>
      <c r="GKE2" s="55"/>
      <c r="GKF2" s="55"/>
      <c r="GKG2" s="55"/>
      <c r="GKH2" s="55"/>
      <c r="GKI2" s="55"/>
      <c r="GKJ2" s="55"/>
      <c r="GKK2" s="55"/>
      <c r="GKL2" s="55"/>
      <c r="GKM2" s="55"/>
      <c r="GKN2" s="55"/>
      <c r="GKO2" s="55"/>
      <c r="GKP2" s="55"/>
      <c r="GKQ2" s="55"/>
      <c r="GKR2" s="55"/>
      <c r="GKS2" s="55"/>
      <c r="GKT2" s="55"/>
      <c r="GKU2" s="55"/>
      <c r="GKV2" s="55"/>
      <c r="GKW2" s="55"/>
      <c r="GKX2" s="55"/>
      <c r="GKY2" s="55"/>
      <c r="GKZ2" s="55"/>
      <c r="GLA2" s="55"/>
      <c r="GLB2" s="55"/>
      <c r="GLC2" s="55"/>
      <c r="GLD2" s="55"/>
      <c r="GLE2" s="55"/>
      <c r="GLF2" s="55"/>
      <c r="GLG2" s="55"/>
      <c r="GLH2" s="55"/>
      <c r="GLI2" s="55"/>
      <c r="GLJ2" s="55"/>
      <c r="GLK2" s="55"/>
      <c r="GLL2" s="55"/>
      <c r="GLM2" s="55"/>
      <c r="GLN2" s="55"/>
      <c r="GLO2" s="55"/>
      <c r="GLP2" s="55"/>
      <c r="GLQ2" s="55"/>
      <c r="GLR2" s="55"/>
      <c r="GLS2" s="55"/>
      <c r="GLT2" s="55"/>
      <c r="GLU2" s="55"/>
      <c r="GLV2" s="55"/>
      <c r="GLW2" s="55"/>
      <c r="GLX2" s="55"/>
      <c r="GLY2" s="55"/>
      <c r="GLZ2" s="55"/>
      <c r="GMA2" s="55"/>
      <c r="GMB2" s="55"/>
      <c r="GMC2" s="55"/>
      <c r="GMD2" s="55"/>
      <c r="GME2" s="55"/>
      <c r="GMF2" s="55"/>
      <c r="GMG2" s="55"/>
      <c r="GMH2" s="55"/>
      <c r="GMI2" s="55"/>
      <c r="GMJ2" s="55"/>
      <c r="GMK2" s="55"/>
      <c r="GML2" s="55"/>
      <c r="GMM2" s="55"/>
      <c r="GMN2" s="55"/>
      <c r="GMO2" s="55"/>
      <c r="GMP2" s="55"/>
      <c r="GMQ2" s="55"/>
      <c r="GMR2" s="55"/>
      <c r="GMS2" s="55"/>
      <c r="GMT2" s="55"/>
      <c r="GMU2" s="55"/>
      <c r="GMV2" s="55"/>
      <c r="GMW2" s="55"/>
      <c r="GMX2" s="55"/>
      <c r="GMY2" s="55"/>
      <c r="GMZ2" s="55"/>
      <c r="GNA2" s="55"/>
      <c r="GNB2" s="55"/>
      <c r="GNC2" s="55"/>
      <c r="GND2" s="55"/>
      <c r="GNE2" s="55"/>
      <c r="GNF2" s="55"/>
      <c r="GNG2" s="55"/>
      <c r="GNH2" s="55"/>
      <c r="GNI2" s="55"/>
      <c r="GNJ2" s="55"/>
      <c r="GNK2" s="55"/>
      <c r="GNL2" s="55"/>
      <c r="GNM2" s="55"/>
      <c r="GNN2" s="55"/>
      <c r="GNO2" s="55"/>
      <c r="GNP2" s="55"/>
      <c r="GNQ2" s="55"/>
      <c r="GNR2" s="55"/>
      <c r="GNS2" s="55"/>
      <c r="GNT2" s="55"/>
      <c r="GNU2" s="55"/>
      <c r="GNV2" s="55"/>
      <c r="GNW2" s="55"/>
      <c r="GNX2" s="55"/>
      <c r="GNY2" s="55"/>
      <c r="GNZ2" s="55"/>
      <c r="GOA2" s="55"/>
      <c r="GOB2" s="55"/>
      <c r="GOC2" s="55"/>
      <c r="GOD2" s="55"/>
      <c r="GOE2" s="55"/>
      <c r="GOF2" s="55"/>
      <c r="GOG2" s="55"/>
      <c r="GOH2" s="55"/>
      <c r="GOI2" s="55"/>
      <c r="GOJ2" s="55"/>
      <c r="GOK2" s="55"/>
      <c r="GOL2" s="55"/>
      <c r="GOM2" s="55"/>
      <c r="GON2" s="55"/>
      <c r="GOO2" s="55"/>
      <c r="GOP2" s="55"/>
      <c r="GOQ2" s="55"/>
      <c r="GOR2" s="55"/>
      <c r="GOS2" s="55"/>
      <c r="GOT2" s="55"/>
      <c r="GOU2" s="55"/>
      <c r="GOV2" s="55"/>
      <c r="GOW2" s="55"/>
      <c r="GOX2" s="55"/>
      <c r="GOY2" s="55"/>
      <c r="GOZ2" s="55"/>
      <c r="GPA2" s="55"/>
      <c r="GPB2" s="55"/>
      <c r="GPC2" s="55"/>
      <c r="GPD2" s="55"/>
      <c r="GPE2" s="55"/>
      <c r="GPF2" s="55"/>
      <c r="GPG2" s="55"/>
      <c r="GPH2" s="55"/>
      <c r="GPI2" s="55"/>
      <c r="GPJ2" s="55"/>
      <c r="GPK2" s="55"/>
      <c r="GPL2" s="55"/>
      <c r="GPM2" s="55"/>
      <c r="GPN2" s="55"/>
      <c r="GPO2" s="55"/>
      <c r="GPP2" s="55"/>
      <c r="GPQ2" s="55"/>
      <c r="GPR2" s="55"/>
      <c r="GPS2" s="55"/>
      <c r="GPT2" s="55"/>
      <c r="GPU2" s="55"/>
      <c r="GPV2" s="55"/>
      <c r="GPW2" s="55"/>
      <c r="GPX2" s="55"/>
      <c r="GPY2" s="55"/>
      <c r="GPZ2" s="55"/>
      <c r="GQA2" s="55"/>
      <c r="GQB2" s="55"/>
      <c r="GQC2" s="55"/>
      <c r="GQD2" s="55"/>
      <c r="GQE2" s="55"/>
      <c r="GQF2" s="55"/>
      <c r="GQG2" s="55"/>
      <c r="GQH2" s="55"/>
      <c r="GQI2" s="55"/>
      <c r="GQJ2" s="55"/>
      <c r="GQK2" s="55"/>
      <c r="GQL2" s="55"/>
      <c r="GQM2" s="55"/>
      <c r="GQN2" s="55"/>
      <c r="GQO2" s="55"/>
      <c r="GQP2" s="55"/>
      <c r="GQQ2" s="55"/>
      <c r="GQR2" s="55"/>
      <c r="GQS2" s="55"/>
      <c r="GQT2" s="55"/>
      <c r="GQU2" s="55"/>
      <c r="GQV2" s="55"/>
      <c r="GQW2" s="55"/>
      <c r="GQX2" s="55"/>
      <c r="GQY2" s="55"/>
      <c r="GQZ2" s="55"/>
      <c r="GRA2" s="55"/>
      <c r="GRB2" s="55"/>
      <c r="GRC2" s="55"/>
      <c r="GRD2" s="55"/>
      <c r="GRE2" s="55"/>
      <c r="GRF2" s="55"/>
      <c r="GRG2" s="55"/>
      <c r="GRH2" s="55"/>
      <c r="GRI2" s="55"/>
      <c r="GRJ2" s="55"/>
      <c r="GRK2" s="55"/>
      <c r="GRL2" s="55"/>
      <c r="GRM2" s="55"/>
      <c r="GRN2" s="55"/>
      <c r="GRO2" s="55"/>
      <c r="GRP2" s="55"/>
      <c r="GRQ2" s="55"/>
      <c r="GRR2" s="55"/>
      <c r="GRS2" s="55"/>
      <c r="GRT2" s="55"/>
      <c r="GRU2" s="55"/>
      <c r="GRV2" s="55"/>
      <c r="GRW2" s="55"/>
      <c r="GRX2" s="55"/>
      <c r="GRY2" s="55"/>
      <c r="GRZ2" s="55"/>
      <c r="GSA2" s="55"/>
      <c r="GSB2" s="55"/>
      <c r="GSC2" s="55"/>
      <c r="GSD2" s="55"/>
      <c r="GSE2" s="55"/>
      <c r="GSF2" s="55"/>
      <c r="GSG2" s="55"/>
      <c r="GSH2" s="55"/>
      <c r="GSI2" s="55"/>
      <c r="GSJ2" s="55"/>
      <c r="GSK2" s="55"/>
      <c r="GSL2" s="55"/>
      <c r="GSM2" s="55"/>
      <c r="GSN2" s="55"/>
      <c r="GSO2" s="55"/>
      <c r="GSP2" s="55"/>
      <c r="GSQ2" s="55"/>
      <c r="GSR2" s="55"/>
      <c r="GSS2" s="55"/>
      <c r="GST2" s="55"/>
      <c r="GSU2" s="55"/>
      <c r="GSV2" s="55"/>
      <c r="GSW2" s="55"/>
      <c r="GSX2" s="55"/>
      <c r="GSY2" s="55"/>
      <c r="GSZ2" s="55"/>
      <c r="GTA2" s="55"/>
      <c r="GTB2" s="55"/>
      <c r="GTC2" s="55"/>
      <c r="GTD2" s="55"/>
      <c r="GTE2" s="55"/>
      <c r="GTF2" s="55"/>
      <c r="GTG2" s="55"/>
      <c r="GTH2" s="55"/>
      <c r="GTI2" s="55"/>
      <c r="GTJ2" s="55"/>
      <c r="GTK2" s="55"/>
      <c r="GTL2" s="55"/>
      <c r="GTM2" s="55"/>
      <c r="GTN2" s="55"/>
      <c r="GTO2" s="55"/>
      <c r="GTP2" s="55"/>
      <c r="GTQ2" s="55"/>
      <c r="GTR2" s="55"/>
      <c r="GTS2" s="55"/>
      <c r="GTT2" s="55"/>
      <c r="GTU2" s="55"/>
      <c r="GTV2" s="55"/>
      <c r="GTW2" s="55"/>
      <c r="GTX2" s="55"/>
      <c r="GTY2" s="55"/>
      <c r="GTZ2" s="55"/>
      <c r="GUA2" s="55"/>
      <c r="GUB2" s="55"/>
      <c r="GUC2" s="55"/>
      <c r="GUD2" s="55"/>
      <c r="GUE2" s="55"/>
      <c r="GUF2" s="55"/>
      <c r="GUG2" s="55"/>
      <c r="GUH2" s="55"/>
      <c r="GUI2" s="55"/>
      <c r="GUJ2" s="55"/>
      <c r="GUK2" s="55"/>
      <c r="GUL2" s="55"/>
      <c r="GUM2" s="55"/>
      <c r="GUN2" s="55"/>
      <c r="GUO2" s="55"/>
      <c r="GUP2" s="55"/>
      <c r="GUQ2" s="55"/>
      <c r="GUR2" s="55"/>
      <c r="GUS2" s="55"/>
      <c r="GUT2" s="55"/>
      <c r="GUU2" s="55"/>
      <c r="GUV2" s="55"/>
      <c r="GUW2" s="55"/>
      <c r="GUX2" s="55"/>
      <c r="GUY2" s="55"/>
      <c r="GUZ2" s="55"/>
      <c r="GVA2" s="55"/>
      <c r="GVB2" s="55"/>
      <c r="GVC2" s="55"/>
      <c r="GVD2" s="55"/>
      <c r="GVE2" s="55"/>
      <c r="GVF2" s="55"/>
      <c r="GVG2" s="55"/>
      <c r="GVH2" s="55"/>
      <c r="GVI2" s="55"/>
      <c r="GVJ2" s="55"/>
      <c r="GVK2" s="55"/>
      <c r="GVL2" s="55"/>
      <c r="GVM2" s="55"/>
      <c r="GVN2" s="55"/>
      <c r="GVO2" s="55"/>
      <c r="GVP2" s="55"/>
      <c r="GVQ2" s="55"/>
      <c r="GVR2" s="55"/>
      <c r="GVS2" s="55"/>
      <c r="GVT2" s="55"/>
      <c r="GVU2" s="55"/>
      <c r="GVV2" s="55"/>
      <c r="GVW2" s="55"/>
      <c r="GVX2" s="55"/>
      <c r="GVY2" s="55"/>
      <c r="GVZ2" s="55"/>
      <c r="GWA2" s="55"/>
      <c r="GWB2" s="55"/>
      <c r="GWC2" s="55"/>
      <c r="GWD2" s="55"/>
      <c r="GWE2" s="55"/>
      <c r="GWF2" s="55"/>
      <c r="GWG2" s="55"/>
      <c r="GWH2" s="55"/>
      <c r="GWI2" s="55"/>
      <c r="GWJ2" s="55"/>
      <c r="GWK2" s="55"/>
      <c r="GWL2" s="55"/>
      <c r="GWM2" s="55"/>
      <c r="GWN2" s="55"/>
      <c r="GWO2" s="55"/>
      <c r="GWP2" s="55"/>
      <c r="GWQ2" s="55"/>
      <c r="GWR2" s="55"/>
      <c r="GWS2" s="55"/>
      <c r="GWT2" s="55"/>
      <c r="GWU2" s="55"/>
      <c r="GWV2" s="55"/>
      <c r="GWW2" s="55"/>
      <c r="GWX2" s="55"/>
      <c r="GWY2" s="55"/>
      <c r="GWZ2" s="55"/>
      <c r="GXA2" s="55"/>
      <c r="GXB2" s="55"/>
      <c r="GXC2" s="55"/>
      <c r="GXD2" s="55"/>
      <c r="GXE2" s="55"/>
      <c r="GXF2" s="55"/>
      <c r="GXG2" s="55"/>
      <c r="GXH2" s="55"/>
      <c r="GXI2" s="55"/>
      <c r="GXJ2" s="55"/>
      <c r="GXK2" s="55"/>
      <c r="GXL2" s="55"/>
      <c r="GXM2" s="55"/>
      <c r="GXN2" s="55"/>
      <c r="GXO2" s="55"/>
      <c r="GXP2" s="55"/>
      <c r="GXQ2" s="55"/>
      <c r="GXR2" s="55"/>
      <c r="GXS2" s="55"/>
      <c r="GXT2" s="55"/>
      <c r="GXU2" s="55"/>
      <c r="GXV2" s="55"/>
      <c r="GXW2" s="55"/>
      <c r="GXX2" s="55"/>
      <c r="GXY2" s="55"/>
      <c r="GXZ2" s="55"/>
      <c r="GYA2" s="55"/>
      <c r="GYB2" s="55"/>
      <c r="GYC2" s="55"/>
      <c r="GYD2" s="55"/>
      <c r="GYE2" s="55"/>
      <c r="GYF2" s="55"/>
      <c r="GYG2" s="55"/>
      <c r="GYH2" s="55"/>
      <c r="GYI2" s="55"/>
      <c r="GYJ2" s="55"/>
      <c r="GYK2" s="55"/>
      <c r="GYL2" s="55"/>
      <c r="GYM2" s="55"/>
      <c r="GYN2" s="55"/>
      <c r="GYO2" s="55"/>
      <c r="GYP2" s="55"/>
      <c r="GYQ2" s="55"/>
      <c r="GYR2" s="55"/>
      <c r="GYS2" s="55"/>
      <c r="GYT2" s="55"/>
      <c r="GYU2" s="55"/>
      <c r="GYV2" s="55"/>
      <c r="GYW2" s="55"/>
      <c r="GYX2" s="55"/>
      <c r="GYY2" s="55"/>
      <c r="GYZ2" s="55"/>
      <c r="GZA2" s="55"/>
      <c r="GZB2" s="55"/>
      <c r="GZC2" s="55"/>
      <c r="GZD2" s="55"/>
      <c r="GZE2" s="55"/>
      <c r="GZF2" s="55"/>
      <c r="GZG2" s="55"/>
      <c r="GZH2" s="55"/>
      <c r="GZI2" s="55"/>
      <c r="GZJ2" s="55"/>
      <c r="GZK2" s="55"/>
      <c r="GZL2" s="55"/>
      <c r="GZM2" s="55"/>
      <c r="GZN2" s="55"/>
      <c r="GZO2" s="55"/>
      <c r="GZP2" s="55"/>
      <c r="GZQ2" s="55"/>
      <c r="GZR2" s="55"/>
      <c r="GZS2" s="55"/>
      <c r="GZT2" s="55"/>
      <c r="GZU2" s="55"/>
      <c r="GZV2" s="55"/>
      <c r="GZW2" s="55"/>
      <c r="GZX2" s="55"/>
      <c r="GZY2" s="55"/>
      <c r="GZZ2" s="55"/>
      <c r="HAA2" s="55"/>
      <c r="HAB2" s="55"/>
      <c r="HAC2" s="55"/>
      <c r="HAD2" s="55"/>
      <c r="HAE2" s="55"/>
      <c r="HAF2" s="55"/>
      <c r="HAG2" s="55"/>
      <c r="HAH2" s="55"/>
      <c r="HAI2" s="55"/>
      <c r="HAJ2" s="55"/>
      <c r="HAK2" s="55"/>
      <c r="HAL2" s="55"/>
      <c r="HAM2" s="55"/>
      <c r="HAN2" s="55"/>
      <c r="HAO2" s="55"/>
      <c r="HAP2" s="55"/>
      <c r="HAQ2" s="55"/>
      <c r="HAR2" s="55"/>
      <c r="HAS2" s="55"/>
      <c r="HAT2" s="55"/>
      <c r="HAU2" s="55"/>
      <c r="HAV2" s="55"/>
      <c r="HAW2" s="55"/>
      <c r="HAX2" s="55"/>
      <c r="HAY2" s="55"/>
      <c r="HAZ2" s="55"/>
      <c r="HBA2" s="55"/>
      <c r="HBB2" s="55"/>
      <c r="HBC2" s="55"/>
      <c r="HBD2" s="55"/>
      <c r="HBE2" s="55"/>
      <c r="HBF2" s="55"/>
      <c r="HBG2" s="55"/>
      <c r="HBH2" s="55"/>
      <c r="HBI2" s="55"/>
      <c r="HBJ2" s="55"/>
      <c r="HBK2" s="55"/>
      <c r="HBL2" s="55"/>
      <c r="HBM2" s="55"/>
      <c r="HBN2" s="55"/>
      <c r="HBO2" s="55"/>
      <c r="HBP2" s="55"/>
      <c r="HBQ2" s="55"/>
      <c r="HBR2" s="55"/>
      <c r="HBS2" s="55"/>
      <c r="HBT2" s="55"/>
      <c r="HBU2" s="55"/>
      <c r="HBV2" s="55"/>
      <c r="HBW2" s="55"/>
      <c r="HBX2" s="55"/>
      <c r="HBY2" s="55"/>
      <c r="HBZ2" s="55"/>
      <c r="HCA2" s="55"/>
      <c r="HCB2" s="55"/>
      <c r="HCC2" s="55"/>
      <c r="HCD2" s="55"/>
      <c r="HCE2" s="55"/>
      <c r="HCF2" s="55"/>
      <c r="HCG2" s="55"/>
      <c r="HCH2" s="55"/>
      <c r="HCI2" s="55"/>
      <c r="HCJ2" s="55"/>
      <c r="HCK2" s="55"/>
      <c r="HCL2" s="55"/>
      <c r="HCM2" s="55"/>
      <c r="HCN2" s="55"/>
      <c r="HCO2" s="55"/>
      <c r="HCP2" s="55"/>
      <c r="HCQ2" s="55"/>
      <c r="HCR2" s="55"/>
      <c r="HCS2" s="55"/>
      <c r="HCT2" s="55"/>
      <c r="HCU2" s="55"/>
      <c r="HCV2" s="55"/>
      <c r="HCW2" s="55"/>
      <c r="HCX2" s="55"/>
      <c r="HCY2" s="55"/>
      <c r="HCZ2" s="55"/>
      <c r="HDA2" s="55"/>
      <c r="HDB2" s="55"/>
      <c r="HDC2" s="55"/>
      <c r="HDD2" s="55"/>
      <c r="HDE2" s="55"/>
      <c r="HDF2" s="55"/>
      <c r="HDG2" s="55"/>
      <c r="HDH2" s="55"/>
      <c r="HDI2" s="55"/>
      <c r="HDJ2" s="55"/>
      <c r="HDK2" s="55"/>
      <c r="HDL2" s="55"/>
      <c r="HDM2" s="55"/>
      <c r="HDN2" s="55"/>
      <c r="HDO2" s="55"/>
      <c r="HDP2" s="55"/>
      <c r="HDQ2" s="55"/>
      <c r="HDR2" s="55"/>
      <c r="HDS2" s="55"/>
      <c r="HDT2" s="55"/>
      <c r="HDU2" s="55"/>
      <c r="HDV2" s="55"/>
      <c r="HDW2" s="55"/>
      <c r="HDX2" s="55"/>
      <c r="HDY2" s="55"/>
      <c r="HDZ2" s="55"/>
      <c r="HEA2" s="55"/>
      <c r="HEB2" s="55"/>
      <c r="HEC2" s="55"/>
      <c r="HED2" s="55"/>
      <c r="HEE2" s="55"/>
      <c r="HEF2" s="55"/>
      <c r="HEG2" s="55"/>
      <c r="HEH2" s="55"/>
      <c r="HEI2" s="55"/>
      <c r="HEJ2" s="55"/>
      <c r="HEK2" s="55"/>
      <c r="HEL2" s="55"/>
      <c r="HEM2" s="55"/>
      <c r="HEN2" s="55"/>
      <c r="HEO2" s="55"/>
      <c r="HEP2" s="55"/>
      <c r="HEQ2" s="55"/>
      <c r="HER2" s="55"/>
      <c r="HES2" s="55"/>
      <c r="HET2" s="55"/>
      <c r="HEU2" s="55"/>
      <c r="HEV2" s="55"/>
      <c r="HEW2" s="55"/>
      <c r="HEX2" s="55"/>
      <c r="HEY2" s="55"/>
      <c r="HEZ2" s="55"/>
      <c r="HFA2" s="55"/>
      <c r="HFB2" s="55"/>
      <c r="HFC2" s="55"/>
      <c r="HFD2" s="55"/>
      <c r="HFE2" s="55"/>
      <c r="HFF2" s="55"/>
      <c r="HFG2" s="55"/>
      <c r="HFH2" s="55"/>
      <c r="HFI2" s="55"/>
      <c r="HFJ2" s="55"/>
      <c r="HFK2" s="55"/>
      <c r="HFL2" s="55"/>
      <c r="HFM2" s="55"/>
      <c r="HFN2" s="55"/>
      <c r="HFO2" s="55"/>
      <c r="HFP2" s="55"/>
      <c r="HFQ2" s="55"/>
      <c r="HFR2" s="55"/>
      <c r="HFS2" s="55"/>
      <c r="HFT2" s="55"/>
      <c r="HFU2" s="55"/>
      <c r="HFV2" s="55"/>
      <c r="HFW2" s="55"/>
      <c r="HFX2" s="55"/>
      <c r="HFY2" s="55"/>
      <c r="HFZ2" s="55"/>
      <c r="HGA2" s="55"/>
      <c r="HGB2" s="55"/>
      <c r="HGC2" s="55"/>
      <c r="HGD2" s="55"/>
      <c r="HGE2" s="55"/>
      <c r="HGF2" s="55"/>
      <c r="HGG2" s="55"/>
      <c r="HGH2" s="55"/>
      <c r="HGI2" s="55"/>
      <c r="HGJ2" s="55"/>
      <c r="HGK2" s="55"/>
      <c r="HGL2" s="55"/>
      <c r="HGM2" s="55"/>
      <c r="HGN2" s="55"/>
      <c r="HGO2" s="55"/>
      <c r="HGP2" s="55"/>
      <c r="HGQ2" s="55"/>
      <c r="HGR2" s="55"/>
      <c r="HGS2" s="55"/>
      <c r="HGT2" s="55"/>
      <c r="HGU2" s="55"/>
      <c r="HGV2" s="55"/>
      <c r="HGW2" s="55"/>
      <c r="HGX2" s="55"/>
      <c r="HGY2" s="55"/>
      <c r="HGZ2" s="55"/>
      <c r="HHA2" s="55"/>
      <c r="HHB2" s="55"/>
      <c r="HHC2" s="55"/>
      <c r="HHD2" s="55"/>
      <c r="HHE2" s="55"/>
      <c r="HHF2" s="55"/>
      <c r="HHG2" s="55"/>
      <c r="HHH2" s="55"/>
      <c r="HHI2" s="55"/>
      <c r="HHJ2" s="55"/>
      <c r="HHK2" s="55"/>
      <c r="HHL2" s="55"/>
      <c r="HHM2" s="55"/>
      <c r="HHN2" s="55"/>
      <c r="HHO2" s="55"/>
      <c r="HHP2" s="55"/>
      <c r="HHQ2" s="55"/>
      <c r="HHR2" s="55"/>
      <c r="HHS2" s="55"/>
      <c r="HHT2" s="55"/>
      <c r="HHU2" s="55"/>
      <c r="HHV2" s="55"/>
      <c r="HHW2" s="55"/>
      <c r="HHX2" s="55"/>
      <c r="HHY2" s="55"/>
      <c r="HHZ2" s="55"/>
      <c r="HIA2" s="55"/>
      <c r="HIB2" s="55"/>
      <c r="HIC2" s="55"/>
      <c r="HID2" s="55"/>
      <c r="HIE2" s="55"/>
      <c r="HIF2" s="55"/>
      <c r="HIG2" s="55"/>
      <c r="HIH2" s="55"/>
      <c r="HII2" s="55"/>
      <c r="HIJ2" s="55"/>
      <c r="HIK2" s="55"/>
      <c r="HIL2" s="55"/>
      <c r="HIM2" s="55"/>
      <c r="HIN2" s="55"/>
      <c r="HIO2" s="55"/>
      <c r="HIP2" s="55"/>
      <c r="HIQ2" s="55"/>
      <c r="HIR2" s="55"/>
      <c r="HIS2" s="55"/>
      <c r="HIT2" s="55"/>
      <c r="HIU2" s="55"/>
      <c r="HIV2" s="55"/>
      <c r="HIW2" s="55"/>
      <c r="HIX2" s="55"/>
      <c r="HIY2" s="55"/>
      <c r="HIZ2" s="55"/>
      <c r="HJA2" s="55"/>
      <c r="HJB2" s="55"/>
      <c r="HJC2" s="55"/>
      <c r="HJD2" s="55"/>
      <c r="HJE2" s="55"/>
      <c r="HJF2" s="55"/>
      <c r="HJG2" s="55"/>
      <c r="HJH2" s="55"/>
      <c r="HJI2" s="55"/>
      <c r="HJJ2" s="55"/>
      <c r="HJK2" s="55"/>
      <c r="HJL2" s="55"/>
      <c r="HJM2" s="55"/>
      <c r="HJN2" s="55"/>
      <c r="HJO2" s="55"/>
      <c r="HJP2" s="55"/>
      <c r="HJQ2" s="55"/>
      <c r="HJR2" s="55"/>
      <c r="HJS2" s="55"/>
      <c r="HJT2" s="55"/>
      <c r="HJU2" s="55"/>
      <c r="HJV2" s="55"/>
      <c r="HJW2" s="55"/>
      <c r="HJX2" s="55"/>
      <c r="HJY2" s="55"/>
      <c r="HJZ2" s="55"/>
      <c r="HKA2" s="55"/>
      <c r="HKB2" s="55"/>
      <c r="HKC2" s="55"/>
      <c r="HKD2" s="55"/>
      <c r="HKE2" s="55"/>
      <c r="HKF2" s="55"/>
      <c r="HKG2" s="55"/>
      <c r="HKH2" s="55"/>
      <c r="HKI2" s="55"/>
      <c r="HKJ2" s="55"/>
      <c r="HKK2" s="55"/>
      <c r="HKL2" s="55"/>
      <c r="HKM2" s="55"/>
      <c r="HKN2" s="55"/>
      <c r="HKO2" s="55"/>
      <c r="HKP2" s="55"/>
      <c r="HKQ2" s="55"/>
      <c r="HKR2" s="55"/>
      <c r="HKS2" s="55"/>
      <c r="HKT2" s="55"/>
      <c r="HKU2" s="55"/>
      <c r="HKV2" s="55"/>
      <c r="HKW2" s="55"/>
      <c r="HKX2" s="55"/>
      <c r="HKY2" s="55"/>
      <c r="HKZ2" s="55"/>
      <c r="HLA2" s="55"/>
      <c r="HLB2" s="55"/>
      <c r="HLC2" s="55"/>
      <c r="HLD2" s="55"/>
      <c r="HLE2" s="55"/>
      <c r="HLF2" s="55"/>
      <c r="HLG2" s="55"/>
      <c r="HLH2" s="55"/>
      <c r="HLI2" s="55"/>
      <c r="HLJ2" s="55"/>
      <c r="HLK2" s="55"/>
      <c r="HLL2" s="55"/>
      <c r="HLM2" s="55"/>
      <c r="HLN2" s="55"/>
      <c r="HLO2" s="55"/>
      <c r="HLP2" s="55"/>
      <c r="HLQ2" s="55"/>
      <c r="HLR2" s="55"/>
      <c r="HLS2" s="55"/>
      <c r="HLT2" s="55"/>
      <c r="HLU2" s="55"/>
      <c r="HLV2" s="55"/>
      <c r="HLW2" s="55"/>
      <c r="HLX2" s="55"/>
      <c r="HLY2" s="55"/>
      <c r="HLZ2" s="55"/>
      <c r="HMA2" s="55"/>
      <c r="HMB2" s="55"/>
      <c r="HMC2" s="55"/>
      <c r="HMD2" s="55"/>
      <c r="HME2" s="55"/>
      <c r="HMF2" s="55"/>
      <c r="HMG2" s="55"/>
      <c r="HMH2" s="55"/>
      <c r="HMI2" s="55"/>
      <c r="HMJ2" s="55"/>
      <c r="HMK2" s="55"/>
      <c r="HML2" s="55"/>
      <c r="HMM2" s="55"/>
      <c r="HMN2" s="55"/>
      <c r="HMO2" s="55"/>
      <c r="HMP2" s="55"/>
      <c r="HMQ2" s="55"/>
      <c r="HMR2" s="55"/>
      <c r="HMS2" s="55"/>
      <c r="HMT2" s="55"/>
      <c r="HMU2" s="55"/>
      <c r="HMV2" s="55"/>
      <c r="HMW2" s="55"/>
      <c r="HMX2" s="55"/>
      <c r="HMY2" s="55"/>
      <c r="HMZ2" s="55"/>
      <c r="HNA2" s="55"/>
      <c r="HNB2" s="55"/>
      <c r="HNC2" s="55"/>
      <c r="HND2" s="55"/>
      <c r="HNE2" s="55"/>
      <c r="HNF2" s="55"/>
      <c r="HNG2" s="55"/>
      <c r="HNH2" s="55"/>
      <c r="HNI2" s="55"/>
      <c r="HNJ2" s="55"/>
      <c r="HNK2" s="55"/>
      <c r="HNL2" s="55"/>
      <c r="HNM2" s="55"/>
      <c r="HNN2" s="55"/>
      <c r="HNO2" s="55"/>
      <c r="HNP2" s="55"/>
      <c r="HNQ2" s="55"/>
      <c r="HNR2" s="55"/>
      <c r="HNS2" s="55"/>
      <c r="HNT2" s="55"/>
      <c r="HNU2" s="55"/>
      <c r="HNV2" s="55"/>
      <c r="HNW2" s="55"/>
      <c r="HNX2" s="55"/>
      <c r="HNY2" s="55"/>
      <c r="HNZ2" s="55"/>
      <c r="HOA2" s="55"/>
      <c r="HOB2" s="55"/>
      <c r="HOC2" s="55"/>
      <c r="HOD2" s="55"/>
      <c r="HOE2" s="55"/>
      <c r="HOF2" s="55"/>
      <c r="HOG2" s="55"/>
      <c r="HOH2" s="55"/>
      <c r="HOI2" s="55"/>
      <c r="HOJ2" s="55"/>
      <c r="HOK2" s="55"/>
      <c r="HOL2" s="55"/>
      <c r="HOM2" s="55"/>
      <c r="HON2" s="55"/>
      <c r="HOO2" s="55"/>
      <c r="HOP2" s="55"/>
      <c r="HOQ2" s="55"/>
      <c r="HOR2" s="55"/>
      <c r="HOS2" s="55"/>
      <c r="HOT2" s="55"/>
      <c r="HOU2" s="55"/>
      <c r="HOV2" s="55"/>
      <c r="HOW2" s="55"/>
      <c r="HOX2" s="55"/>
      <c r="HOY2" s="55"/>
      <c r="HOZ2" s="55"/>
      <c r="HPA2" s="55"/>
      <c r="HPB2" s="55"/>
      <c r="HPC2" s="55"/>
      <c r="HPD2" s="55"/>
      <c r="HPE2" s="55"/>
      <c r="HPF2" s="55"/>
      <c r="HPG2" s="55"/>
      <c r="HPH2" s="55"/>
      <c r="HPI2" s="55"/>
      <c r="HPJ2" s="55"/>
      <c r="HPK2" s="55"/>
      <c r="HPL2" s="55"/>
      <c r="HPM2" s="55"/>
      <c r="HPN2" s="55"/>
      <c r="HPO2" s="55"/>
      <c r="HPP2" s="55"/>
      <c r="HPQ2" s="55"/>
      <c r="HPR2" s="55"/>
      <c r="HPS2" s="55"/>
      <c r="HPT2" s="55"/>
      <c r="HPU2" s="55"/>
      <c r="HPV2" s="55"/>
      <c r="HPW2" s="55"/>
      <c r="HPX2" s="55"/>
      <c r="HPY2" s="55"/>
      <c r="HPZ2" s="55"/>
      <c r="HQA2" s="55"/>
      <c r="HQB2" s="55"/>
      <c r="HQC2" s="55"/>
      <c r="HQD2" s="55"/>
      <c r="HQE2" s="55"/>
      <c r="HQF2" s="55"/>
      <c r="HQG2" s="55"/>
      <c r="HQH2" s="55"/>
      <c r="HQI2" s="55"/>
      <c r="HQJ2" s="55"/>
      <c r="HQK2" s="55"/>
      <c r="HQL2" s="55"/>
      <c r="HQM2" s="55"/>
      <c r="HQN2" s="55"/>
      <c r="HQO2" s="55"/>
      <c r="HQP2" s="55"/>
      <c r="HQQ2" s="55"/>
      <c r="HQR2" s="55"/>
      <c r="HQS2" s="55"/>
      <c r="HQT2" s="55"/>
      <c r="HQU2" s="55"/>
      <c r="HQV2" s="55"/>
      <c r="HQW2" s="55"/>
      <c r="HQX2" s="55"/>
      <c r="HQY2" s="55"/>
      <c r="HQZ2" s="55"/>
      <c r="HRA2" s="55"/>
      <c r="HRB2" s="55"/>
      <c r="HRC2" s="55"/>
      <c r="HRD2" s="55"/>
      <c r="HRE2" s="55"/>
      <c r="HRF2" s="55"/>
      <c r="HRG2" s="55"/>
      <c r="HRH2" s="55"/>
      <c r="HRI2" s="55"/>
      <c r="HRJ2" s="55"/>
      <c r="HRK2" s="55"/>
      <c r="HRL2" s="55"/>
      <c r="HRM2" s="55"/>
      <c r="HRN2" s="55"/>
      <c r="HRO2" s="55"/>
      <c r="HRP2" s="55"/>
      <c r="HRQ2" s="55"/>
      <c r="HRR2" s="55"/>
      <c r="HRS2" s="55"/>
      <c r="HRT2" s="55"/>
      <c r="HRU2" s="55"/>
      <c r="HRV2" s="55"/>
      <c r="HRW2" s="55"/>
      <c r="HRX2" s="55"/>
      <c r="HRY2" s="55"/>
      <c r="HRZ2" s="55"/>
      <c r="HSA2" s="55"/>
      <c r="HSB2" s="55"/>
      <c r="HSC2" s="55"/>
      <c r="HSD2" s="55"/>
      <c r="HSE2" s="55"/>
      <c r="HSF2" s="55"/>
      <c r="HSG2" s="55"/>
      <c r="HSH2" s="55"/>
      <c r="HSI2" s="55"/>
      <c r="HSJ2" s="55"/>
      <c r="HSK2" s="55"/>
      <c r="HSL2" s="55"/>
      <c r="HSM2" s="55"/>
      <c r="HSN2" s="55"/>
      <c r="HSO2" s="55"/>
      <c r="HSP2" s="55"/>
      <c r="HSQ2" s="55"/>
      <c r="HSR2" s="55"/>
      <c r="HSS2" s="55"/>
      <c r="HST2" s="55"/>
      <c r="HSU2" s="55"/>
      <c r="HSV2" s="55"/>
      <c r="HSW2" s="55"/>
      <c r="HSX2" s="55"/>
      <c r="HSY2" s="55"/>
      <c r="HSZ2" s="55"/>
      <c r="HTA2" s="55"/>
      <c r="HTB2" s="55"/>
      <c r="HTC2" s="55"/>
      <c r="HTD2" s="55"/>
      <c r="HTE2" s="55"/>
      <c r="HTF2" s="55"/>
      <c r="HTG2" s="55"/>
      <c r="HTH2" s="55"/>
      <c r="HTI2" s="55"/>
      <c r="HTJ2" s="55"/>
      <c r="HTK2" s="55"/>
      <c r="HTL2" s="55"/>
      <c r="HTM2" s="55"/>
      <c r="HTN2" s="55"/>
      <c r="HTO2" s="55"/>
      <c r="HTP2" s="55"/>
      <c r="HTQ2" s="55"/>
      <c r="HTR2" s="55"/>
      <c r="HTS2" s="55"/>
      <c r="HTT2" s="55"/>
      <c r="HTU2" s="55"/>
      <c r="HTV2" s="55"/>
      <c r="HTW2" s="55"/>
      <c r="HTX2" s="55"/>
      <c r="HTY2" s="55"/>
      <c r="HTZ2" s="55"/>
      <c r="HUA2" s="55"/>
      <c r="HUB2" s="55"/>
      <c r="HUC2" s="55"/>
      <c r="HUD2" s="55"/>
      <c r="HUE2" s="55"/>
      <c r="HUF2" s="55"/>
      <c r="HUG2" s="55"/>
      <c r="HUH2" s="55"/>
      <c r="HUI2" s="55"/>
      <c r="HUJ2" s="55"/>
      <c r="HUK2" s="55"/>
      <c r="HUL2" s="55"/>
      <c r="HUM2" s="55"/>
      <c r="HUN2" s="55"/>
      <c r="HUO2" s="55"/>
      <c r="HUP2" s="55"/>
      <c r="HUQ2" s="55"/>
      <c r="HUR2" s="55"/>
      <c r="HUS2" s="55"/>
      <c r="HUT2" s="55"/>
      <c r="HUU2" s="55"/>
      <c r="HUV2" s="55"/>
      <c r="HUW2" s="55"/>
      <c r="HUX2" s="55"/>
      <c r="HUY2" s="55"/>
      <c r="HUZ2" s="55"/>
      <c r="HVA2" s="55"/>
      <c r="HVB2" s="55"/>
      <c r="HVC2" s="55"/>
      <c r="HVD2" s="55"/>
      <c r="HVE2" s="55"/>
      <c r="HVF2" s="55"/>
      <c r="HVG2" s="55"/>
      <c r="HVH2" s="55"/>
      <c r="HVI2" s="55"/>
      <c r="HVJ2" s="55"/>
      <c r="HVK2" s="55"/>
      <c r="HVL2" s="55"/>
      <c r="HVM2" s="55"/>
      <c r="HVN2" s="55"/>
      <c r="HVO2" s="55"/>
      <c r="HVP2" s="55"/>
      <c r="HVQ2" s="55"/>
      <c r="HVR2" s="55"/>
      <c r="HVS2" s="55"/>
      <c r="HVT2" s="55"/>
      <c r="HVU2" s="55"/>
      <c r="HVV2" s="55"/>
      <c r="HVW2" s="55"/>
      <c r="HVX2" s="55"/>
      <c r="HVY2" s="55"/>
      <c r="HVZ2" s="55"/>
      <c r="HWA2" s="55"/>
      <c r="HWB2" s="55"/>
      <c r="HWC2" s="55"/>
      <c r="HWD2" s="55"/>
      <c r="HWE2" s="55"/>
      <c r="HWF2" s="55"/>
      <c r="HWG2" s="55"/>
      <c r="HWH2" s="55"/>
      <c r="HWI2" s="55"/>
      <c r="HWJ2" s="55"/>
      <c r="HWK2" s="55"/>
      <c r="HWL2" s="55"/>
      <c r="HWM2" s="55"/>
      <c r="HWN2" s="55"/>
      <c r="HWO2" s="55"/>
      <c r="HWP2" s="55"/>
      <c r="HWQ2" s="55"/>
      <c r="HWR2" s="55"/>
      <c r="HWS2" s="55"/>
      <c r="HWT2" s="55"/>
      <c r="HWU2" s="55"/>
      <c r="HWV2" s="55"/>
      <c r="HWW2" s="55"/>
      <c r="HWX2" s="55"/>
      <c r="HWY2" s="55"/>
      <c r="HWZ2" s="55"/>
      <c r="HXA2" s="55"/>
      <c r="HXB2" s="55"/>
      <c r="HXC2" s="55"/>
      <c r="HXD2" s="55"/>
      <c r="HXE2" s="55"/>
      <c r="HXF2" s="55"/>
      <c r="HXG2" s="55"/>
      <c r="HXH2" s="55"/>
      <c r="HXI2" s="55"/>
      <c r="HXJ2" s="55"/>
      <c r="HXK2" s="55"/>
      <c r="HXL2" s="55"/>
      <c r="HXM2" s="55"/>
      <c r="HXN2" s="55"/>
      <c r="HXO2" s="55"/>
      <c r="HXP2" s="55"/>
      <c r="HXQ2" s="55"/>
      <c r="HXR2" s="55"/>
      <c r="HXS2" s="55"/>
      <c r="HXT2" s="55"/>
      <c r="HXU2" s="55"/>
      <c r="HXV2" s="55"/>
      <c r="HXW2" s="55"/>
      <c r="HXX2" s="55"/>
      <c r="HXY2" s="55"/>
      <c r="HXZ2" s="55"/>
      <c r="HYA2" s="55"/>
      <c r="HYB2" s="55"/>
      <c r="HYC2" s="55"/>
      <c r="HYD2" s="55"/>
      <c r="HYE2" s="55"/>
      <c r="HYF2" s="55"/>
      <c r="HYG2" s="55"/>
      <c r="HYH2" s="55"/>
      <c r="HYI2" s="55"/>
      <c r="HYJ2" s="55"/>
      <c r="HYK2" s="55"/>
      <c r="HYL2" s="55"/>
      <c r="HYM2" s="55"/>
      <c r="HYN2" s="55"/>
      <c r="HYO2" s="55"/>
      <c r="HYP2" s="55"/>
      <c r="HYQ2" s="55"/>
      <c r="HYR2" s="55"/>
      <c r="HYS2" s="55"/>
      <c r="HYT2" s="55"/>
      <c r="HYU2" s="55"/>
      <c r="HYV2" s="55"/>
      <c r="HYW2" s="55"/>
      <c r="HYX2" s="55"/>
      <c r="HYY2" s="55"/>
      <c r="HYZ2" s="55"/>
      <c r="HZA2" s="55"/>
      <c r="HZB2" s="55"/>
      <c r="HZC2" s="55"/>
      <c r="HZD2" s="55"/>
      <c r="HZE2" s="55"/>
      <c r="HZF2" s="55"/>
      <c r="HZG2" s="55"/>
      <c r="HZH2" s="55"/>
      <c r="HZI2" s="55"/>
      <c r="HZJ2" s="55"/>
      <c r="HZK2" s="55"/>
      <c r="HZL2" s="55"/>
      <c r="HZM2" s="55"/>
      <c r="HZN2" s="55"/>
      <c r="HZO2" s="55"/>
      <c r="HZP2" s="55"/>
      <c r="HZQ2" s="55"/>
      <c r="HZR2" s="55"/>
      <c r="HZS2" s="55"/>
      <c r="HZT2" s="55"/>
      <c r="HZU2" s="55"/>
      <c r="HZV2" s="55"/>
      <c r="HZW2" s="55"/>
      <c r="HZX2" s="55"/>
      <c r="HZY2" s="55"/>
      <c r="HZZ2" s="55"/>
      <c r="IAA2" s="55"/>
      <c r="IAB2" s="55"/>
      <c r="IAC2" s="55"/>
      <c r="IAD2" s="55"/>
      <c r="IAE2" s="55"/>
      <c r="IAF2" s="55"/>
      <c r="IAG2" s="55"/>
      <c r="IAH2" s="55"/>
      <c r="IAI2" s="55"/>
      <c r="IAJ2" s="55"/>
      <c r="IAK2" s="55"/>
      <c r="IAL2" s="55"/>
      <c r="IAM2" s="55"/>
      <c r="IAN2" s="55"/>
      <c r="IAO2" s="55"/>
      <c r="IAP2" s="55"/>
      <c r="IAQ2" s="55"/>
      <c r="IAR2" s="55"/>
      <c r="IAS2" s="55"/>
      <c r="IAT2" s="55"/>
      <c r="IAU2" s="55"/>
      <c r="IAV2" s="55"/>
      <c r="IAW2" s="55"/>
      <c r="IAX2" s="55"/>
      <c r="IAY2" s="55"/>
      <c r="IAZ2" s="55"/>
      <c r="IBA2" s="55"/>
      <c r="IBB2" s="55"/>
      <c r="IBC2" s="55"/>
      <c r="IBD2" s="55"/>
      <c r="IBE2" s="55"/>
      <c r="IBF2" s="55"/>
      <c r="IBG2" s="55"/>
      <c r="IBH2" s="55"/>
      <c r="IBI2" s="55"/>
      <c r="IBJ2" s="55"/>
      <c r="IBK2" s="55"/>
      <c r="IBL2" s="55"/>
      <c r="IBM2" s="55"/>
      <c r="IBN2" s="55"/>
      <c r="IBO2" s="55"/>
      <c r="IBP2" s="55"/>
      <c r="IBQ2" s="55"/>
      <c r="IBR2" s="55"/>
      <c r="IBS2" s="55"/>
      <c r="IBT2" s="55"/>
      <c r="IBU2" s="55"/>
      <c r="IBV2" s="55"/>
      <c r="IBW2" s="55"/>
      <c r="IBX2" s="55"/>
      <c r="IBY2" s="55"/>
      <c r="IBZ2" s="55"/>
      <c r="ICA2" s="55"/>
      <c r="ICB2" s="55"/>
      <c r="ICC2" s="55"/>
      <c r="ICD2" s="55"/>
      <c r="ICE2" s="55"/>
      <c r="ICF2" s="55"/>
      <c r="ICG2" s="55"/>
      <c r="ICH2" s="55"/>
      <c r="ICI2" s="55"/>
      <c r="ICJ2" s="55"/>
      <c r="ICK2" s="55"/>
      <c r="ICL2" s="55"/>
      <c r="ICM2" s="55"/>
      <c r="ICN2" s="55"/>
      <c r="ICO2" s="55"/>
      <c r="ICP2" s="55"/>
      <c r="ICQ2" s="55"/>
      <c r="ICR2" s="55"/>
      <c r="ICS2" s="55"/>
      <c r="ICT2" s="55"/>
      <c r="ICU2" s="55"/>
      <c r="ICV2" s="55"/>
      <c r="ICW2" s="55"/>
      <c r="ICX2" s="55"/>
      <c r="ICY2" s="55"/>
      <c r="ICZ2" s="55"/>
      <c r="IDA2" s="55"/>
      <c r="IDB2" s="55"/>
      <c r="IDC2" s="55"/>
      <c r="IDD2" s="55"/>
      <c r="IDE2" s="55"/>
      <c r="IDF2" s="55"/>
      <c r="IDG2" s="55"/>
      <c r="IDH2" s="55"/>
      <c r="IDI2" s="55"/>
      <c r="IDJ2" s="55"/>
      <c r="IDK2" s="55"/>
      <c r="IDL2" s="55"/>
      <c r="IDM2" s="55"/>
      <c r="IDN2" s="55"/>
      <c r="IDO2" s="55"/>
      <c r="IDP2" s="55"/>
      <c r="IDQ2" s="55"/>
      <c r="IDR2" s="55"/>
      <c r="IDS2" s="55"/>
      <c r="IDT2" s="55"/>
      <c r="IDU2" s="55"/>
      <c r="IDV2" s="55"/>
      <c r="IDW2" s="55"/>
      <c r="IDX2" s="55"/>
      <c r="IDY2" s="55"/>
      <c r="IDZ2" s="55"/>
      <c r="IEA2" s="55"/>
      <c r="IEB2" s="55"/>
      <c r="IEC2" s="55"/>
      <c r="IED2" s="55"/>
      <c r="IEE2" s="55"/>
      <c r="IEF2" s="55"/>
      <c r="IEG2" s="55"/>
      <c r="IEH2" s="55"/>
      <c r="IEI2" s="55"/>
      <c r="IEJ2" s="55"/>
      <c r="IEK2" s="55"/>
      <c r="IEL2" s="55"/>
      <c r="IEM2" s="55"/>
      <c r="IEN2" s="55"/>
      <c r="IEO2" s="55"/>
      <c r="IEP2" s="55"/>
      <c r="IEQ2" s="55"/>
      <c r="IER2" s="55"/>
      <c r="IES2" s="55"/>
      <c r="IET2" s="55"/>
      <c r="IEU2" s="55"/>
      <c r="IEV2" s="55"/>
      <c r="IEW2" s="55"/>
      <c r="IEX2" s="55"/>
      <c r="IEY2" s="55"/>
      <c r="IEZ2" s="55"/>
      <c r="IFA2" s="55"/>
      <c r="IFB2" s="55"/>
      <c r="IFC2" s="55"/>
      <c r="IFD2" s="55"/>
      <c r="IFE2" s="55"/>
      <c r="IFF2" s="55"/>
      <c r="IFG2" s="55"/>
      <c r="IFH2" s="55"/>
      <c r="IFI2" s="55"/>
      <c r="IFJ2" s="55"/>
      <c r="IFK2" s="55"/>
      <c r="IFL2" s="55"/>
      <c r="IFM2" s="55"/>
      <c r="IFN2" s="55"/>
      <c r="IFO2" s="55"/>
      <c r="IFP2" s="55"/>
      <c r="IFQ2" s="55"/>
      <c r="IFR2" s="55"/>
      <c r="IFS2" s="55"/>
      <c r="IFT2" s="55"/>
      <c r="IFU2" s="55"/>
      <c r="IFV2" s="55"/>
      <c r="IFW2" s="55"/>
      <c r="IFX2" s="55"/>
      <c r="IFY2" s="55"/>
      <c r="IFZ2" s="55"/>
      <c r="IGA2" s="55"/>
      <c r="IGB2" s="55"/>
      <c r="IGC2" s="55"/>
      <c r="IGD2" s="55"/>
      <c r="IGE2" s="55"/>
      <c r="IGF2" s="55"/>
      <c r="IGG2" s="55"/>
      <c r="IGH2" s="55"/>
      <c r="IGI2" s="55"/>
      <c r="IGJ2" s="55"/>
      <c r="IGK2" s="55"/>
      <c r="IGL2" s="55"/>
      <c r="IGM2" s="55"/>
      <c r="IGN2" s="55"/>
      <c r="IGO2" s="55"/>
      <c r="IGP2" s="55"/>
      <c r="IGQ2" s="55"/>
      <c r="IGR2" s="55"/>
      <c r="IGS2" s="55"/>
      <c r="IGT2" s="55"/>
      <c r="IGU2" s="55"/>
      <c r="IGV2" s="55"/>
      <c r="IGW2" s="55"/>
      <c r="IGX2" s="55"/>
      <c r="IGY2" s="55"/>
      <c r="IGZ2" s="55"/>
      <c r="IHA2" s="55"/>
      <c r="IHB2" s="55"/>
      <c r="IHC2" s="55"/>
      <c r="IHD2" s="55"/>
      <c r="IHE2" s="55"/>
      <c r="IHF2" s="55"/>
      <c r="IHG2" s="55"/>
      <c r="IHH2" s="55"/>
      <c r="IHI2" s="55"/>
      <c r="IHJ2" s="55"/>
      <c r="IHK2" s="55"/>
      <c r="IHL2" s="55"/>
      <c r="IHM2" s="55"/>
      <c r="IHN2" s="55"/>
      <c r="IHO2" s="55"/>
      <c r="IHP2" s="55"/>
      <c r="IHQ2" s="55"/>
      <c r="IHR2" s="55"/>
      <c r="IHS2" s="55"/>
      <c r="IHT2" s="55"/>
      <c r="IHU2" s="55"/>
      <c r="IHV2" s="55"/>
      <c r="IHW2" s="55"/>
      <c r="IHX2" s="55"/>
      <c r="IHY2" s="55"/>
      <c r="IHZ2" s="55"/>
      <c r="IIA2" s="55"/>
      <c r="IIB2" s="55"/>
      <c r="IIC2" s="55"/>
      <c r="IID2" s="55"/>
      <c r="IIE2" s="55"/>
      <c r="IIF2" s="55"/>
      <c r="IIG2" s="55"/>
      <c r="IIH2" s="55"/>
      <c r="III2" s="55"/>
      <c r="IIJ2" s="55"/>
      <c r="IIK2" s="55"/>
      <c r="IIL2" s="55"/>
      <c r="IIM2" s="55"/>
      <c r="IIN2" s="55"/>
      <c r="IIO2" s="55"/>
      <c r="IIP2" s="55"/>
      <c r="IIQ2" s="55"/>
      <c r="IIR2" s="55"/>
      <c r="IIS2" s="55"/>
      <c r="IIT2" s="55"/>
      <c r="IIU2" s="55"/>
      <c r="IIV2" s="55"/>
      <c r="IIW2" s="55"/>
      <c r="IIX2" s="55"/>
      <c r="IIY2" s="55"/>
      <c r="IIZ2" s="55"/>
      <c r="IJA2" s="55"/>
      <c r="IJB2" s="55"/>
      <c r="IJC2" s="55"/>
      <c r="IJD2" s="55"/>
      <c r="IJE2" s="55"/>
      <c r="IJF2" s="55"/>
      <c r="IJG2" s="55"/>
      <c r="IJH2" s="55"/>
      <c r="IJI2" s="55"/>
      <c r="IJJ2" s="55"/>
      <c r="IJK2" s="55"/>
      <c r="IJL2" s="55"/>
      <c r="IJM2" s="55"/>
      <c r="IJN2" s="55"/>
      <c r="IJO2" s="55"/>
      <c r="IJP2" s="55"/>
      <c r="IJQ2" s="55"/>
      <c r="IJR2" s="55"/>
      <c r="IJS2" s="55"/>
      <c r="IJT2" s="55"/>
      <c r="IJU2" s="55"/>
      <c r="IJV2" s="55"/>
      <c r="IJW2" s="55"/>
      <c r="IJX2" s="55"/>
      <c r="IJY2" s="55"/>
      <c r="IJZ2" s="55"/>
      <c r="IKA2" s="55"/>
      <c r="IKB2" s="55"/>
      <c r="IKC2" s="55"/>
      <c r="IKD2" s="55"/>
      <c r="IKE2" s="55"/>
      <c r="IKF2" s="55"/>
      <c r="IKG2" s="55"/>
      <c r="IKH2" s="55"/>
      <c r="IKI2" s="55"/>
      <c r="IKJ2" s="55"/>
      <c r="IKK2" s="55"/>
      <c r="IKL2" s="55"/>
      <c r="IKM2" s="55"/>
      <c r="IKN2" s="55"/>
      <c r="IKO2" s="55"/>
      <c r="IKP2" s="55"/>
      <c r="IKQ2" s="55"/>
      <c r="IKR2" s="55"/>
      <c r="IKS2" s="55"/>
      <c r="IKT2" s="55"/>
      <c r="IKU2" s="55"/>
      <c r="IKV2" s="55"/>
      <c r="IKW2" s="55"/>
      <c r="IKX2" s="55"/>
      <c r="IKY2" s="55"/>
      <c r="IKZ2" s="55"/>
      <c r="ILA2" s="55"/>
      <c r="ILB2" s="55"/>
      <c r="ILC2" s="55"/>
      <c r="ILD2" s="55"/>
      <c r="ILE2" s="55"/>
      <c r="ILF2" s="55"/>
      <c r="ILG2" s="55"/>
      <c r="ILH2" s="55"/>
      <c r="ILI2" s="55"/>
      <c r="ILJ2" s="55"/>
      <c r="ILK2" s="55"/>
      <c r="ILL2" s="55"/>
      <c r="ILM2" s="55"/>
      <c r="ILN2" s="55"/>
      <c r="ILO2" s="55"/>
      <c r="ILP2" s="55"/>
      <c r="ILQ2" s="55"/>
      <c r="ILR2" s="55"/>
      <c r="ILS2" s="55"/>
      <c r="ILT2" s="55"/>
      <c r="ILU2" s="55"/>
      <c r="ILV2" s="55"/>
      <c r="ILW2" s="55"/>
      <c r="ILX2" s="55"/>
      <c r="ILY2" s="55"/>
      <c r="ILZ2" s="55"/>
      <c r="IMA2" s="55"/>
      <c r="IMB2" s="55"/>
      <c r="IMC2" s="55"/>
      <c r="IMD2" s="55"/>
      <c r="IME2" s="55"/>
      <c r="IMF2" s="55"/>
      <c r="IMG2" s="55"/>
      <c r="IMH2" s="55"/>
      <c r="IMI2" s="55"/>
      <c r="IMJ2" s="55"/>
      <c r="IMK2" s="55"/>
      <c r="IML2" s="55"/>
      <c r="IMM2" s="55"/>
      <c r="IMN2" s="55"/>
      <c r="IMO2" s="55"/>
      <c r="IMP2" s="55"/>
      <c r="IMQ2" s="55"/>
      <c r="IMR2" s="55"/>
      <c r="IMS2" s="55"/>
      <c r="IMT2" s="55"/>
      <c r="IMU2" s="55"/>
      <c r="IMV2" s="55"/>
      <c r="IMW2" s="55"/>
      <c r="IMX2" s="55"/>
      <c r="IMY2" s="55"/>
      <c r="IMZ2" s="55"/>
      <c r="INA2" s="55"/>
      <c r="INB2" s="55"/>
      <c r="INC2" s="55"/>
      <c r="IND2" s="55"/>
      <c r="INE2" s="55"/>
      <c r="INF2" s="55"/>
      <c r="ING2" s="55"/>
      <c r="INH2" s="55"/>
      <c r="INI2" s="55"/>
      <c r="INJ2" s="55"/>
      <c r="INK2" s="55"/>
      <c r="INL2" s="55"/>
      <c r="INM2" s="55"/>
      <c r="INN2" s="55"/>
      <c r="INO2" s="55"/>
      <c r="INP2" s="55"/>
      <c r="INQ2" s="55"/>
      <c r="INR2" s="55"/>
      <c r="INS2" s="55"/>
      <c r="INT2" s="55"/>
      <c r="INU2" s="55"/>
      <c r="INV2" s="55"/>
      <c r="INW2" s="55"/>
      <c r="INX2" s="55"/>
      <c r="INY2" s="55"/>
      <c r="INZ2" s="55"/>
      <c r="IOA2" s="55"/>
      <c r="IOB2" s="55"/>
      <c r="IOC2" s="55"/>
      <c r="IOD2" s="55"/>
      <c r="IOE2" s="55"/>
      <c r="IOF2" s="55"/>
      <c r="IOG2" s="55"/>
      <c r="IOH2" s="55"/>
      <c r="IOI2" s="55"/>
      <c r="IOJ2" s="55"/>
      <c r="IOK2" s="55"/>
      <c r="IOL2" s="55"/>
      <c r="IOM2" s="55"/>
      <c r="ION2" s="55"/>
      <c r="IOO2" s="55"/>
      <c r="IOP2" s="55"/>
      <c r="IOQ2" s="55"/>
      <c r="IOR2" s="55"/>
      <c r="IOS2" s="55"/>
      <c r="IOT2" s="55"/>
      <c r="IOU2" s="55"/>
      <c r="IOV2" s="55"/>
      <c r="IOW2" s="55"/>
      <c r="IOX2" s="55"/>
      <c r="IOY2" s="55"/>
      <c r="IOZ2" s="55"/>
      <c r="IPA2" s="55"/>
      <c r="IPB2" s="55"/>
      <c r="IPC2" s="55"/>
      <c r="IPD2" s="55"/>
      <c r="IPE2" s="55"/>
      <c r="IPF2" s="55"/>
      <c r="IPG2" s="55"/>
      <c r="IPH2" s="55"/>
      <c r="IPI2" s="55"/>
      <c r="IPJ2" s="55"/>
      <c r="IPK2" s="55"/>
      <c r="IPL2" s="55"/>
      <c r="IPM2" s="55"/>
      <c r="IPN2" s="55"/>
      <c r="IPO2" s="55"/>
      <c r="IPP2" s="55"/>
      <c r="IPQ2" s="55"/>
      <c r="IPR2" s="55"/>
      <c r="IPS2" s="55"/>
      <c r="IPT2" s="55"/>
      <c r="IPU2" s="55"/>
      <c r="IPV2" s="55"/>
      <c r="IPW2" s="55"/>
      <c r="IPX2" s="55"/>
      <c r="IPY2" s="55"/>
      <c r="IPZ2" s="55"/>
      <c r="IQA2" s="55"/>
      <c r="IQB2" s="55"/>
      <c r="IQC2" s="55"/>
      <c r="IQD2" s="55"/>
      <c r="IQE2" s="55"/>
      <c r="IQF2" s="55"/>
      <c r="IQG2" s="55"/>
      <c r="IQH2" s="55"/>
      <c r="IQI2" s="55"/>
      <c r="IQJ2" s="55"/>
      <c r="IQK2" s="55"/>
      <c r="IQL2" s="55"/>
      <c r="IQM2" s="55"/>
      <c r="IQN2" s="55"/>
      <c r="IQO2" s="55"/>
      <c r="IQP2" s="55"/>
      <c r="IQQ2" s="55"/>
      <c r="IQR2" s="55"/>
      <c r="IQS2" s="55"/>
      <c r="IQT2" s="55"/>
      <c r="IQU2" s="55"/>
      <c r="IQV2" s="55"/>
      <c r="IQW2" s="55"/>
      <c r="IQX2" s="55"/>
      <c r="IQY2" s="55"/>
      <c r="IQZ2" s="55"/>
      <c r="IRA2" s="55"/>
      <c r="IRB2" s="55"/>
      <c r="IRC2" s="55"/>
      <c r="IRD2" s="55"/>
      <c r="IRE2" s="55"/>
      <c r="IRF2" s="55"/>
      <c r="IRG2" s="55"/>
      <c r="IRH2" s="55"/>
      <c r="IRI2" s="55"/>
      <c r="IRJ2" s="55"/>
      <c r="IRK2" s="55"/>
      <c r="IRL2" s="55"/>
      <c r="IRM2" s="55"/>
      <c r="IRN2" s="55"/>
      <c r="IRO2" s="55"/>
      <c r="IRP2" s="55"/>
      <c r="IRQ2" s="55"/>
      <c r="IRR2" s="55"/>
      <c r="IRS2" s="55"/>
      <c r="IRT2" s="55"/>
      <c r="IRU2" s="55"/>
      <c r="IRV2" s="55"/>
      <c r="IRW2" s="55"/>
      <c r="IRX2" s="55"/>
      <c r="IRY2" s="55"/>
      <c r="IRZ2" s="55"/>
      <c r="ISA2" s="55"/>
      <c r="ISB2" s="55"/>
      <c r="ISC2" s="55"/>
      <c r="ISD2" s="55"/>
      <c r="ISE2" s="55"/>
      <c r="ISF2" s="55"/>
      <c r="ISG2" s="55"/>
      <c r="ISH2" s="55"/>
      <c r="ISI2" s="55"/>
      <c r="ISJ2" s="55"/>
      <c r="ISK2" s="55"/>
      <c r="ISL2" s="55"/>
      <c r="ISM2" s="55"/>
      <c r="ISN2" s="55"/>
      <c r="ISO2" s="55"/>
      <c r="ISP2" s="55"/>
      <c r="ISQ2" s="55"/>
      <c r="ISR2" s="55"/>
      <c r="ISS2" s="55"/>
      <c r="IST2" s="55"/>
      <c r="ISU2" s="55"/>
      <c r="ISV2" s="55"/>
      <c r="ISW2" s="55"/>
      <c r="ISX2" s="55"/>
      <c r="ISY2" s="55"/>
      <c r="ISZ2" s="55"/>
      <c r="ITA2" s="55"/>
      <c r="ITB2" s="55"/>
      <c r="ITC2" s="55"/>
      <c r="ITD2" s="55"/>
      <c r="ITE2" s="55"/>
      <c r="ITF2" s="55"/>
      <c r="ITG2" s="55"/>
      <c r="ITH2" s="55"/>
      <c r="ITI2" s="55"/>
      <c r="ITJ2" s="55"/>
      <c r="ITK2" s="55"/>
      <c r="ITL2" s="55"/>
      <c r="ITM2" s="55"/>
      <c r="ITN2" s="55"/>
      <c r="ITO2" s="55"/>
      <c r="ITP2" s="55"/>
      <c r="ITQ2" s="55"/>
      <c r="ITR2" s="55"/>
      <c r="ITS2" s="55"/>
      <c r="ITT2" s="55"/>
      <c r="ITU2" s="55"/>
      <c r="ITV2" s="55"/>
      <c r="ITW2" s="55"/>
      <c r="ITX2" s="55"/>
      <c r="ITY2" s="55"/>
      <c r="ITZ2" s="55"/>
      <c r="IUA2" s="55"/>
      <c r="IUB2" s="55"/>
      <c r="IUC2" s="55"/>
      <c r="IUD2" s="55"/>
      <c r="IUE2" s="55"/>
      <c r="IUF2" s="55"/>
      <c r="IUG2" s="55"/>
      <c r="IUH2" s="55"/>
      <c r="IUI2" s="55"/>
      <c r="IUJ2" s="55"/>
      <c r="IUK2" s="55"/>
      <c r="IUL2" s="55"/>
      <c r="IUM2" s="55"/>
      <c r="IUN2" s="55"/>
      <c r="IUO2" s="55"/>
      <c r="IUP2" s="55"/>
      <c r="IUQ2" s="55"/>
      <c r="IUR2" s="55"/>
      <c r="IUS2" s="55"/>
      <c r="IUT2" s="55"/>
      <c r="IUU2" s="55"/>
      <c r="IUV2" s="55"/>
      <c r="IUW2" s="55"/>
      <c r="IUX2" s="55"/>
      <c r="IUY2" s="55"/>
      <c r="IUZ2" s="55"/>
      <c r="IVA2" s="55"/>
      <c r="IVB2" s="55"/>
      <c r="IVC2" s="55"/>
      <c r="IVD2" s="55"/>
      <c r="IVE2" s="55"/>
      <c r="IVF2" s="55"/>
      <c r="IVG2" s="55"/>
      <c r="IVH2" s="55"/>
      <c r="IVI2" s="55"/>
      <c r="IVJ2" s="55"/>
      <c r="IVK2" s="55"/>
      <c r="IVL2" s="55"/>
      <c r="IVM2" s="55"/>
      <c r="IVN2" s="55"/>
      <c r="IVO2" s="55"/>
      <c r="IVP2" s="55"/>
      <c r="IVQ2" s="55"/>
      <c r="IVR2" s="55"/>
      <c r="IVS2" s="55"/>
      <c r="IVT2" s="55"/>
      <c r="IVU2" s="55"/>
      <c r="IVV2" s="55"/>
      <c r="IVW2" s="55"/>
      <c r="IVX2" s="55"/>
      <c r="IVY2" s="55"/>
      <c r="IVZ2" s="55"/>
      <c r="IWA2" s="55"/>
      <c r="IWB2" s="55"/>
      <c r="IWC2" s="55"/>
      <c r="IWD2" s="55"/>
      <c r="IWE2" s="55"/>
      <c r="IWF2" s="55"/>
      <c r="IWG2" s="55"/>
      <c r="IWH2" s="55"/>
      <c r="IWI2" s="55"/>
      <c r="IWJ2" s="55"/>
      <c r="IWK2" s="55"/>
      <c r="IWL2" s="55"/>
      <c r="IWM2" s="55"/>
      <c r="IWN2" s="55"/>
      <c r="IWO2" s="55"/>
      <c r="IWP2" s="55"/>
      <c r="IWQ2" s="55"/>
      <c r="IWR2" s="55"/>
      <c r="IWS2" s="55"/>
      <c r="IWT2" s="55"/>
      <c r="IWU2" s="55"/>
      <c r="IWV2" s="55"/>
      <c r="IWW2" s="55"/>
      <c r="IWX2" s="55"/>
      <c r="IWY2" s="55"/>
      <c r="IWZ2" s="55"/>
      <c r="IXA2" s="55"/>
      <c r="IXB2" s="55"/>
      <c r="IXC2" s="55"/>
      <c r="IXD2" s="55"/>
      <c r="IXE2" s="55"/>
      <c r="IXF2" s="55"/>
      <c r="IXG2" s="55"/>
      <c r="IXH2" s="55"/>
      <c r="IXI2" s="55"/>
      <c r="IXJ2" s="55"/>
      <c r="IXK2" s="55"/>
      <c r="IXL2" s="55"/>
      <c r="IXM2" s="55"/>
      <c r="IXN2" s="55"/>
      <c r="IXO2" s="55"/>
      <c r="IXP2" s="55"/>
      <c r="IXQ2" s="55"/>
      <c r="IXR2" s="55"/>
      <c r="IXS2" s="55"/>
      <c r="IXT2" s="55"/>
      <c r="IXU2" s="55"/>
      <c r="IXV2" s="55"/>
      <c r="IXW2" s="55"/>
      <c r="IXX2" s="55"/>
      <c r="IXY2" s="55"/>
      <c r="IXZ2" s="55"/>
      <c r="IYA2" s="55"/>
      <c r="IYB2" s="55"/>
      <c r="IYC2" s="55"/>
      <c r="IYD2" s="55"/>
      <c r="IYE2" s="55"/>
      <c r="IYF2" s="55"/>
      <c r="IYG2" s="55"/>
      <c r="IYH2" s="55"/>
      <c r="IYI2" s="55"/>
      <c r="IYJ2" s="55"/>
      <c r="IYK2" s="55"/>
      <c r="IYL2" s="55"/>
      <c r="IYM2" s="55"/>
      <c r="IYN2" s="55"/>
      <c r="IYO2" s="55"/>
      <c r="IYP2" s="55"/>
      <c r="IYQ2" s="55"/>
      <c r="IYR2" s="55"/>
      <c r="IYS2" s="55"/>
      <c r="IYT2" s="55"/>
      <c r="IYU2" s="55"/>
      <c r="IYV2" s="55"/>
      <c r="IYW2" s="55"/>
      <c r="IYX2" s="55"/>
      <c r="IYY2" s="55"/>
      <c r="IYZ2" s="55"/>
      <c r="IZA2" s="55"/>
      <c r="IZB2" s="55"/>
      <c r="IZC2" s="55"/>
      <c r="IZD2" s="55"/>
      <c r="IZE2" s="55"/>
      <c r="IZF2" s="55"/>
      <c r="IZG2" s="55"/>
      <c r="IZH2" s="55"/>
      <c r="IZI2" s="55"/>
      <c r="IZJ2" s="55"/>
      <c r="IZK2" s="55"/>
      <c r="IZL2" s="55"/>
      <c r="IZM2" s="55"/>
      <c r="IZN2" s="55"/>
      <c r="IZO2" s="55"/>
      <c r="IZP2" s="55"/>
      <c r="IZQ2" s="55"/>
      <c r="IZR2" s="55"/>
      <c r="IZS2" s="55"/>
      <c r="IZT2" s="55"/>
      <c r="IZU2" s="55"/>
      <c r="IZV2" s="55"/>
      <c r="IZW2" s="55"/>
      <c r="IZX2" s="55"/>
      <c r="IZY2" s="55"/>
      <c r="IZZ2" s="55"/>
      <c r="JAA2" s="55"/>
      <c r="JAB2" s="55"/>
      <c r="JAC2" s="55"/>
      <c r="JAD2" s="55"/>
      <c r="JAE2" s="55"/>
      <c r="JAF2" s="55"/>
      <c r="JAG2" s="55"/>
      <c r="JAH2" s="55"/>
      <c r="JAI2" s="55"/>
      <c r="JAJ2" s="55"/>
      <c r="JAK2" s="55"/>
      <c r="JAL2" s="55"/>
      <c r="JAM2" s="55"/>
      <c r="JAN2" s="55"/>
      <c r="JAO2" s="55"/>
      <c r="JAP2" s="55"/>
      <c r="JAQ2" s="55"/>
      <c r="JAR2" s="55"/>
      <c r="JAS2" s="55"/>
      <c r="JAT2" s="55"/>
      <c r="JAU2" s="55"/>
      <c r="JAV2" s="55"/>
      <c r="JAW2" s="55"/>
      <c r="JAX2" s="55"/>
      <c r="JAY2" s="55"/>
      <c r="JAZ2" s="55"/>
      <c r="JBA2" s="55"/>
      <c r="JBB2" s="55"/>
      <c r="JBC2" s="55"/>
      <c r="JBD2" s="55"/>
      <c r="JBE2" s="55"/>
      <c r="JBF2" s="55"/>
      <c r="JBG2" s="55"/>
      <c r="JBH2" s="55"/>
      <c r="JBI2" s="55"/>
      <c r="JBJ2" s="55"/>
      <c r="JBK2" s="55"/>
      <c r="JBL2" s="55"/>
      <c r="JBM2" s="55"/>
      <c r="JBN2" s="55"/>
      <c r="JBO2" s="55"/>
      <c r="JBP2" s="55"/>
      <c r="JBQ2" s="55"/>
      <c r="JBR2" s="55"/>
      <c r="JBS2" s="55"/>
      <c r="JBT2" s="55"/>
      <c r="JBU2" s="55"/>
      <c r="JBV2" s="55"/>
      <c r="JBW2" s="55"/>
      <c r="JBX2" s="55"/>
      <c r="JBY2" s="55"/>
      <c r="JBZ2" s="55"/>
      <c r="JCA2" s="55"/>
      <c r="JCB2" s="55"/>
      <c r="JCC2" s="55"/>
      <c r="JCD2" s="55"/>
      <c r="JCE2" s="55"/>
      <c r="JCF2" s="55"/>
      <c r="JCG2" s="55"/>
      <c r="JCH2" s="55"/>
      <c r="JCI2" s="55"/>
      <c r="JCJ2" s="55"/>
      <c r="JCK2" s="55"/>
      <c r="JCL2" s="55"/>
      <c r="JCM2" s="55"/>
      <c r="JCN2" s="55"/>
      <c r="JCO2" s="55"/>
      <c r="JCP2" s="55"/>
      <c r="JCQ2" s="55"/>
      <c r="JCR2" s="55"/>
      <c r="JCS2" s="55"/>
      <c r="JCT2" s="55"/>
      <c r="JCU2" s="55"/>
      <c r="JCV2" s="55"/>
      <c r="JCW2" s="55"/>
      <c r="JCX2" s="55"/>
      <c r="JCY2" s="55"/>
      <c r="JCZ2" s="55"/>
      <c r="JDA2" s="55"/>
      <c r="JDB2" s="55"/>
      <c r="JDC2" s="55"/>
      <c r="JDD2" s="55"/>
      <c r="JDE2" s="55"/>
      <c r="JDF2" s="55"/>
      <c r="JDG2" s="55"/>
      <c r="JDH2" s="55"/>
      <c r="JDI2" s="55"/>
      <c r="JDJ2" s="55"/>
      <c r="JDK2" s="55"/>
      <c r="JDL2" s="55"/>
      <c r="JDM2" s="55"/>
      <c r="JDN2" s="55"/>
      <c r="JDO2" s="55"/>
      <c r="JDP2" s="55"/>
      <c r="JDQ2" s="55"/>
      <c r="JDR2" s="55"/>
      <c r="JDS2" s="55"/>
      <c r="JDT2" s="55"/>
      <c r="JDU2" s="55"/>
      <c r="JDV2" s="55"/>
      <c r="JDW2" s="55"/>
      <c r="JDX2" s="55"/>
      <c r="JDY2" s="55"/>
      <c r="JDZ2" s="55"/>
      <c r="JEA2" s="55"/>
      <c r="JEB2" s="55"/>
      <c r="JEC2" s="55"/>
      <c r="JED2" s="55"/>
      <c r="JEE2" s="55"/>
      <c r="JEF2" s="55"/>
      <c r="JEG2" s="55"/>
      <c r="JEH2" s="55"/>
      <c r="JEI2" s="55"/>
      <c r="JEJ2" s="55"/>
      <c r="JEK2" s="55"/>
      <c r="JEL2" s="55"/>
      <c r="JEM2" s="55"/>
      <c r="JEN2" s="55"/>
      <c r="JEO2" s="55"/>
      <c r="JEP2" s="55"/>
      <c r="JEQ2" s="55"/>
      <c r="JER2" s="55"/>
      <c r="JES2" s="55"/>
      <c r="JET2" s="55"/>
      <c r="JEU2" s="55"/>
      <c r="JEV2" s="55"/>
      <c r="JEW2" s="55"/>
      <c r="JEX2" s="55"/>
      <c r="JEY2" s="55"/>
      <c r="JEZ2" s="55"/>
      <c r="JFA2" s="55"/>
      <c r="JFB2" s="55"/>
      <c r="JFC2" s="55"/>
      <c r="JFD2" s="55"/>
      <c r="JFE2" s="55"/>
      <c r="JFF2" s="55"/>
      <c r="JFG2" s="55"/>
      <c r="JFH2" s="55"/>
      <c r="JFI2" s="55"/>
      <c r="JFJ2" s="55"/>
      <c r="JFK2" s="55"/>
      <c r="JFL2" s="55"/>
      <c r="JFM2" s="55"/>
      <c r="JFN2" s="55"/>
      <c r="JFO2" s="55"/>
      <c r="JFP2" s="55"/>
      <c r="JFQ2" s="55"/>
      <c r="JFR2" s="55"/>
      <c r="JFS2" s="55"/>
      <c r="JFT2" s="55"/>
      <c r="JFU2" s="55"/>
      <c r="JFV2" s="55"/>
      <c r="JFW2" s="55"/>
      <c r="JFX2" s="55"/>
      <c r="JFY2" s="55"/>
      <c r="JFZ2" s="55"/>
      <c r="JGA2" s="55"/>
      <c r="JGB2" s="55"/>
      <c r="JGC2" s="55"/>
      <c r="JGD2" s="55"/>
      <c r="JGE2" s="55"/>
      <c r="JGF2" s="55"/>
      <c r="JGG2" s="55"/>
      <c r="JGH2" s="55"/>
      <c r="JGI2" s="55"/>
      <c r="JGJ2" s="55"/>
      <c r="JGK2" s="55"/>
      <c r="JGL2" s="55"/>
      <c r="JGM2" s="55"/>
      <c r="JGN2" s="55"/>
      <c r="JGO2" s="55"/>
      <c r="JGP2" s="55"/>
      <c r="JGQ2" s="55"/>
      <c r="JGR2" s="55"/>
      <c r="JGS2" s="55"/>
      <c r="JGT2" s="55"/>
      <c r="JGU2" s="55"/>
      <c r="JGV2" s="55"/>
      <c r="JGW2" s="55"/>
      <c r="JGX2" s="55"/>
      <c r="JGY2" s="55"/>
      <c r="JGZ2" s="55"/>
      <c r="JHA2" s="55"/>
      <c r="JHB2" s="55"/>
      <c r="JHC2" s="55"/>
      <c r="JHD2" s="55"/>
      <c r="JHE2" s="55"/>
      <c r="JHF2" s="55"/>
      <c r="JHG2" s="55"/>
      <c r="JHH2" s="55"/>
      <c r="JHI2" s="55"/>
      <c r="JHJ2" s="55"/>
      <c r="JHK2" s="55"/>
      <c r="JHL2" s="55"/>
      <c r="JHM2" s="55"/>
      <c r="JHN2" s="55"/>
      <c r="JHO2" s="55"/>
      <c r="JHP2" s="55"/>
      <c r="JHQ2" s="55"/>
      <c r="JHR2" s="55"/>
      <c r="JHS2" s="55"/>
      <c r="JHT2" s="55"/>
      <c r="JHU2" s="55"/>
      <c r="JHV2" s="55"/>
      <c r="JHW2" s="55"/>
      <c r="JHX2" s="55"/>
      <c r="JHY2" s="55"/>
      <c r="JHZ2" s="55"/>
      <c r="JIA2" s="55"/>
      <c r="JIB2" s="55"/>
      <c r="JIC2" s="55"/>
      <c r="JID2" s="55"/>
      <c r="JIE2" s="55"/>
      <c r="JIF2" s="55"/>
      <c r="JIG2" s="55"/>
      <c r="JIH2" s="55"/>
      <c r="JII2" s="55"/>
      <c r="JIJ2" s="55"/>
      <c r="JIK2" s="55"/>
      <c r="JIL2" s="55"/>
      <c r="JIM2" s="55"/>
      <c r="JIN2" s="55"/>
      <c r="JIO2" s="55"/>
      <c r="JIP2" s="55"/>
      <c r="JIQ2" s="55"/>
      <c r="JIR2" s="55"/>
      <c r="JIS2" s="55"/>
      <c r="JIT2" s="55"/>
      <c r="JIU2" s="55"/>
      <c r="JIV2" s="55"/>
      <c r="JIW2" s="55"/>
      <c r="JIX2" s="55"/>
      <c r="JIY2" s="55"/>
      <c r="JIZ2" s="55"/>
      <c r="JJA2" s="55"/>
      <c r="JJB2" s="55"/>
      <c r="JJC2" s="55"/>
      <c r="JJD2" s="55"/>
      <c r="JJE2" s="55"/>
      <c r="JJF2" s="55"/>
      <c r="JJG2" s="55"/>
      <c r="JJH2" s="55"/>
      <c r="JJI2" s="55"/>
      <c r="JJJ2" s="55"/>
      <c r="JJK2" s="55"/>
      <c r="JJL2" s="55"/>
      <c r="JJM2" s="55"/>
      <c r="JJN2" s="55"/>
      <c r="JJO2" s="55"/>
      <c r="JJP2" s="55"/>
      <c r="JJQ2" s="55"/>
      <c r="JJR2" s="55"/>
      <c r="JJS2" s="55"/>
      <c r="JJT2" s="55"/>
      <c r="JJU2" s="55"/>
      <c r="JJV2" s="55"/>
      <c r="JJW2" s="55"/>
      <c r="JJX2" s="55"/>
      <c r="JJY2" s="55"/>
      <c r="JJZ2" s="55"/>
      <c r="JKA2" s="55"/>
      <c r="JKB2" s="55"/>
      <c r="JKC2" s="55"/>
      <c r="JKD2" s="55"/>
      <c r="JKE2" s="55"/>
      <c r="JKF2" s="55"/>
      <c r="JKG2" s="55"/>
      <c r="JKH2" s="55"/>
      <c r="JKI2" s="55"/>
      <c r="JKJ2" s="55"/>
      <c r="JKK2" s="55"/>
      <c r="JKL2" s="55"/>
      <c r="JKM2" s="55"/>
      <c r="JKN2" s="55"/>
      <c r="JKO2" s="55"/>
      <c r="JKP2" s="55"/>
      <c r="JKQ2" s="55"/>
      <c r="JKR2" s="55"/>
      <c r="JKS2" s="55"/>
      <c r="JKT2" s="55"/>
      <c r="JKU2" s="55"/>
      <c r="JKV2" s="55"/>
      <c r="JKW2" s="55"/>
      <c r="JKX2" s="55"/>
      <c r="JKY2" s="55"/>
      <c r="JKZ2" s="55"/>
      <c r="JLA2" s="55"/>
      <c r="JLB2" s="55"/>
      <c r="JLC2" s="55"/>
      <c r="JLD2" s="55"/>
      <c r="JLE2" s="55"/>
      <c r="JLF2" s="55"/>
      <c r="JLG2" s="55"/>
      <c r="JLH2" s="55"/>
      <c r="JLI2" s="55"/>
      <c r="JLJ2" s="55"/>
      <c r="JLK2" s="55"/>
      <c r="JLL2" s="55"/>
      <c r="JLM2" s="55"/>
      <c r="JLN2" s="55"/>
      <c r="JLO2" s="55"/>
      <c r="JLP2" s="55"/>
      <c r="JLQ2" s="55"/>
      <c r="JLR2" s="55"/>
      <c r="JLS2" s="55"/>
      <c r="JLT2" s="55"/>
      <c r="JLU2" s="55"/>
      <c r="JLV2" s="55"/>
      <c r="JLW2" s="55"/>
      <c r="JLX2" s="55"/>
      <c r="JLY2" s="55"/>
      <c r="JLZ2" s="55"/>
      <c r="JMA2" s="55"/>
      <c r="JMB2" s="55"/>
      <c r="JMC2" s="55"/>
      <c r="JMD2" s="55"/>
      <c r="JME2" s="55"/>
      <c r="JMF2" s="55"/>
      <c r="JMG2" s="55"/>
      <c r="JMH2" s="55"/>
      <c r="JMI2" s="55"/>
      <c r="JMJ2" s="55"/>
      <c r="JMK2" s="55"/>
      <c r="JML2" s="55"/>
      <c r="JMM2" s="55"/>
      <c r="JMN2" s="55"/>
      <c r="JMO2" s="55"/>
      <c r="JMP2" s="55"/>
      <c r="JMQ2" s="55"/>
      <c r="JMR2" s="55"/>
      <c r="JMS2" s="55"/>
      <c r="JMT2" s="55"/>
      <c r="JMU2" s="55"/>
      <c r="JMV2" s="55"/>
      <c r="JMW2" s="55"/>
      <c r="JMX2" s="55"/>
      <c r="JMY2" s="55"/>
      <c r="JMZ2" s="55"/>
      <c r="JNA2" s="55"/>
      <c r="JNB2" s="55"/>
      <c r="JNC2" s="55"/>
      <c r="JND2" s="55"/>
      <c r="JNE2" s="55"/>
      <c r="JNF2" s="55"/>
      <c r="JNG2" s="55"/>
      <c r="JNH2" s="55"/>
      <c r="JNI2" s="55"/>
      <c r="JNJ2" s="55"/>
      <c r="JNK2" s="55"/>
      <c r="JNL2" s="55"/>
      <c r="JNM2" s="55"/>
      <c r="JNN2" s="55"/>
      <c r="JNO2" s="55"/>
      <c r="JNP2" s="55"/>
      <c r="JNQ2" s="55"/>
      <c r="JNR2" s="55"/>
      <c r="JNS2" s="55"/>
      <c r="JNT2" s="55"/>
      <c r="JNU2" s="55"/>
      <c r="JNV2" s="55"/>
      <c r="JNW2" s="55"/>
      <c r="JNX2" s="55"/>
      <c r="JNY2" s="55"/>
      <c r="JNZ2" s="55"/>
      <c r="JOA2" s="55"/>
      <c r="JOB2" s="55"/>
      <c r="JOC2" s="55"/>
      <c r="JOD2" s="55"/>
      <c r="JOE2" s="55"/>
      <c r="JOF2" s="55"/>
      <c r="JOG2" s="55"/>
      <c r="JOH2" s="55"/>
      <c r="JOI2" s="55"/>
      <c r="JOJ2" s="55"/>
      <c r="JOK2" s="55"/>
      <c r="JOL2" s="55"/>
      <c r="JOM2" s="55"/>
      <c r="JON2" s="55"/>
      <c r="JOO2" s="55"/>
      <c r="JOP2" s="55"/>
      <c r="JOQ2" s="55"/>
      <c r="JOR2" s="55"/>
      <c r="JOS2" s="55"/>
      <c r="JOT2" s="55"/>
      <c r="JOU2" s="55"/>
      <c r="JOV2" s="55"/>
      <c r="JOW2" s="55"/>
      <c r="JOX2" s="55"/>
      <c r="JOY2" s="55"/>
      <c r="JOZ2" s="55"/>
      <c r="JPA2" s="55"/>
      <c r="JPB2" s="55"/>
      <c r="JPC2" s="55"/>
      <c r="JPD2" s="55"/>
      <c r="JPE2" s="55"/>
      <c r="JPF2" s="55"/>
      <c r="JPG2" s="55"/>
      <c r="JPH2" s="55"/>
      <c r="JPI2" s="55"/>
      <c r="JPJ2" s="55"/>
      <c r="JPK2" s="55"/>
      <c r="JPL2" s="55"/>
      <c r="JPM2" s="55"/>
      <c r="JPN2" s="55"/>
      <c r="JPO2" s="55"/>
      <c r="JPP2" s="55"/>
      <c r="JPQ2" s="55"/>
      <c r="JPR2" s="55"/>
      <c r="JPS2" s="55"/>
      <c r="JPT2" s="55"/>
      <c r="JPU2" s="55"/>
      <c r="JPV2" s="55"/>
      <c r="JPW2" s="55"/>
      <c r="JPX2" s="55"/>
      <c r="JPY2" s="55"/>
      <c r="JPZ2" s="55"/>
      <c r="JQA2" s="55"/>
      <c r="JQB2" s="55"/>
      <c r="JQC2" s="55"/>
      <c r="JQD2" s="55"/>
      <c r="JQE2" s="55"/>
      <c r="JQF2" s="55"/>
      <c r="JQG2" s="55"/>
      <c r="JQH2" s="55"/>
      <c r="JQI2" s="55"/>
      <c r="JQJ2" s="55"/>
      <c r="JQK2" s="55"/>
      <c r="JQL2" s="55"/>
      <c r="JQM2" s="55"/>
      <c r="JQN2" s="55"/>
      <c r="JQO2" s="55"/>
      <c r="JQP2" s="55"/>
      <c r="JQQ2" s="55"/>
      <c r="JQR2" s="55"/>
      <c r="JQS2" s="55"/>
      <c r="JQT2" s="55"/>
      <c r="JQU2" s="55"/>
      <c r="JQV2" s="55"/>
      <c r="JQW2" s="55"/>
      <c r="JQX2" s="55"/>
      <c r="JQY2" s="55"/>
      <c r="JQZ2" s="55"/>
      <c r="JRA2" s="55"/>
      <c r="JRB2" s="55"/>
      <c r="JRC2" s="55"/>
      <c r="JRD2" s="55"/>
      <c r="JRE2" s="55"/>
      <c r="JRF2" s="55"/>
      <c r="JRG2" s="55"/>
      <c r="JRH2" s="55"/>
      <c r="JRI2" s="55"/>
      <c r="JRJ2" s="55"/>
      <c r="JRK2" s="55"/>
      <c r="JRL2" s="55"/>
      <c r="JRM2" s="55"/>
      <c r="JRN2" s="55"/>
      <c r="JRO2" s="55"/>
      <c r="JRP2" s="55"/>
      <c r="JRQ2" s="55"/>
      <c r="JRR2" s="55"/>
      <c r="JRS2" s="55"/>
      <c r="JRT2" s="55"/>
      <c r="JRU2" s="55"/>
      <c r="JRV2" s="55"/>
      <c r="JRW2" s="55"/>
      <c r="JRX2" s="55"/>
      <c r="JRY2" s="55"/>
      <c r="JRZ2" s="55"/>
      <c r="JSA2" s="55"/>
      <c r="JSB2" s="55"/>
      <c r="JSC2" s="55"/>
      <c r="JSD2" s="55"/>
      <c r="JSE2" s="55"/>
      <c r="JSF2" s="55"/>
      <c r="JSG2" s="55"/>
      <c r="JSH2" s="55"/>
      <c r="JSI2" s="55"/>
      <c r="JSJ2" s="55"/>
      <c r="JSK2" s="55"/>
      <c r="JSL2" s="55"/>
      <c r="JSM2" s="55"/>
      <c r="JSN2" s="55"/>
      <c r="JSO2" s="55"/>
      <c r="JSP2" s="55"/>
      <c r="JSQ2" s="55"/>
      <c r="JSR2" s="55"/>
      <c r="JSS2" s="55"/>
      <c r="JST2" s="55"/>
      <c r="JSU2" s="55"/>
      <c r="JSV2" s="55"/>
      <c r="JSW2" s="55"/>
      <c r="JSX2" s="55"/>
      <c r="JSY2" s="55"/>
      <c r="JSZ2" s="55"/>
      <c r="JTA2" s="55"/>
      <c r="JTB2" s="55"/>
      <c r="JTC2" s="55"/>
      <c r="JTD2" s="55"/>
      <c r="JTE2" s="55"/>
      <c r="JTF2" s="55"/>
      <c r="JTG2" s="55"/>
      <c r="JTH2" s="55"/>
      <c r="JTI2" s="55"/>
      <c r="JTJ2" s="55"/>
      <c r="JTK2" s="55"/>
      <c r="JTL2" s="55"/>
      <c r="JTM2" s="55"/>
      <c r="JTN2" s="55"/>
      <c r="JTO2" s="55"/>
      <c r="JTP2" s="55"/>
      <c r="JTQ2" s="55"/>
      <c r="JTR2" s="55"/>
      <c r="JTS2" s="55"/>
      <c r="JTT2" s="55"/>
      <c r="JTU2" s="55"/>
      <c r="JTV2" s="55"/>
      <c r="JTW2" s="55"/>
      <c r="JTX2" s="55"/>
      <c r="JTY2" s="55"/>
      <c r="JTZ2" s="55"/>
      <c r="JUA2" s="55"/>
      <c r="JUB2" s="55"/>
      <c r="JUC2" s="55"/>
      <c r="JUD2" s="55"/>
      <c r="JUE2" s="55"/>
      <c r="JUF2" s="55"/>
      <c r="JUG2" s="55"/>
      <c r="JUH2" s="55"/>
      <c r="JUI2" s="55"/>
      <c r="JUJ2" s="55"/>
      <c r="JUK2" s="55"/>
      <c r="JUL2" s="55"/>
      <c r="JUM2" s="55"/>
      <c r="JUN2" s="55"/>
      <c r="JUO2" s="55"/>
      <c r="JUP2" s="55"/>
      <c r="JUQ2" s="55"/>
      <c r="JUR2" s="55"/>
      <c r="JUS2" s="55"/>
      <c r="JUT2" s="55"/>
      <c r="JUU2" s="55"/>
      <c r="JUV2" s="55"/>
      <c r="JUW2" s="55"/>
      <c r="JUX2" s="55"/>
      <c r="JUY2" s="55"/>
      <c r="JUZ2" s="55"/>
      <c r="JVA2" s="55"/>
      <c r="JVB2" s="55"/>
      <c r="JVC2" s="55"/>
      <c r="JVD2" s="55"/>
      <c r="JVE2" s="55"/>
      <c r="JVF2" s="55"/>
      <c r="JVG2" s="55"/>
      <c r="JVH2" s="55"/>
      <c r="JVI2" s="55"/>
      <c r="JVJ2" s="55"/>
      <c r="JVK2" s="55"/>
      <c r="JVL2" s="55"/>
      <c r="JVM2" s="55"/>
      <c r="JVN2" s="55"/>
      <c r="JVO2" s="55"/>
      <c r="JVP2" s="55"/>
      <c r="JVQ2" s="55"/>
      <c r="JVR2" s="55"/>
      <c r="JVS2" s="55"/>
      <c r="JVT2" s="55"/>
      <c r="JVU2" s="55"/>
      <c r="JVV2" s="55"/>
      <c r="JVW2" s="55"/>
      <c r="JVX2" s="55"/>
      <c r="JVY2" s="55"/>
      <c r="JVZ2" s="55"/>
      <c r="JWA2" s="55"/>
      <c r="JWB2" s="55"/>
      <c r="JWC2" s="55"/>
      <c r="JWD2" s="55"/>
      <c r="JWE2" s="55"/>
      <c r="JWF2" s="55"/>
      <c r="JWG2" s="55"/>
      <c r="JWH2" s="55"/>
      <c r="JWI2" s="55"/>
      <c r="JWJ2" s="55"/>
      <c r="JWK2" s="55"/>
      <c r="JWL2" s="55"/>
      <c r="JWM2" s="55"/>
      <c r="JWN2" s="55"/>
      <c r="JWO2" s="55"/>
      <c r="JWP2" s="55"/>
      <c r="JWQ2" s="55"/>
      <c r="JWR2" s="55"/>
      <c r="JWS2" s="55"/>
      <c r="JWT2" s="55"/>
      <c r="JWU2" s="55"/>
      <c r="JWV2" s="55"/>
      <c r="JWW2" s="55"/>
      <c r="JWX2" s="55"/>
      <c r="JWY2" s="55"/>
      <c r="JWZ2" s="55"/>
      <c r="JXA2" s="55"/>
      <c r="JXB2" s="55"/>
      <c r="JXC2" s="55"/>
      <c r="JXD2" s="55"/>
      <c r="JXE2" s="55"/>
      <c r="JXF2" s="55"/>
      <c r="JXG2" s="55"/>
      <c r="JXH2" s="55"/>
      <c r="JXI2" s="55"/>
      <c r="JXJ2" s="55"/>
      <c r="JXK2" s="55"/>
      <c r="JXL2" s="55"/>
      <c r="JXM2" s="55"/>
      <c r="JXN2" s="55"/>
      <c r="JXO2" s="55"/>
      <c r="JXP2" s="55"/>
      <c r="JXQ2" s="55"/>
      <c r="JXR2" s="55"/>
      <c r="JXS2" s="55"/>
      <c r="JXT2" s="55"/>
      <c r="JXU2" s="55"/>
      <c r="JXV2" s="55"/>
      <c r="JXW2" s="55"/>
      <c r="JXX2" s="55"/>
      <c r="JXY2" s="55"/>
      <c r="JXZ2" s="55"/>
      <c r="JYA2" s="55"/>
      <c r="JYB2" s="55"/>
      <c r="JYC2" s="55"/>
      <c r="JYD2" s="55"/>
      <c r="JYE2" s="55"/>
      <c r="JYF2" s="55"/>
      <c r="JYG2" s="55"/>
      <c r="JYH2" s="55"/>
      <c r="JYI2" s="55"/>
      <c r="JYJ2" s="55"/>
      <c r="JYK2" s="55"/>
      <c r="JYL2" s="55"/>
      <c r="JYM2" s="55"/>
      <c r="JYN2" s="55"/>
      <c r="JYO2" s="55"/>
      <c r="JYP2" s="55"/>
      <c r="JYQ2" s="55"/>
      <c r="JYR2" s="55"/>
      <c r="JYS2" s="55"/>
      <c r="JYT2" s="55"/>
      <c r="JYU2" s="55"/>
      <c r="JYV2" s="55"/>
      <c r="JYW2" s="55"/>
      <c r="JYX2" s="55"/>
      <c r="JYY2" s="55"/>
      <c r="JYZ2" s="55"/>
      <c r="JZA2" s="55"/>
      <c r="JZB2" s="55"/>
      <c r="JZC2" s="55"/>
      <c r="JZD2" s="55"/>
      <c r="JZE2" s="55"/>
      <c r="JZF2" s="55"/>
      <c r="JZG2" s="55"/>
      <c r="JZH2" s="55"/>
      <c r="JZI2" s="55"/>
      <c r="JZJ2" s="55"/>
      <c r="JZK2" s="55"/>
      <c r="JZL2" s="55"/>
      <c r="JZM2" s="55"/>
      <c r="JZN2" s="55"/>
      <c r="JZO2" s="55"/>
      <c r="JZP2" s="55"/>
      <c r="JZQ2" s="55"/>
      <c r="JZR2" s="55"/>
      <c r="JZS2" s="55"/>
      <c r="JZT2" s="55"/>
      <c r="JZU2" s="55"/>
      <c r="JZV2" s="55"/>
      <c r="JZW2" s="55"/>
      <c r="JZX2" s="55"/>
      <c r="JZY2" s="55"/>
      <c r="JZZ2" s="55"/>
      <c r="KAA2" s="55"/>
      <c r="KAB2" s="55"/>
      <c r="KAC2" s="55"/>
      <c r="KAD2" s="55"/>
      <c r="KAE2" s="55"/>
      <c r="KAF2" s="55"/>
      <c r="KAG2" s="55"/>
      <c r="KAH2" s="55"/>
      <c r="KAI2" s="55"/>
      <c r="KAJ2" s="55"/>
      <c r="KAK2" s="55"/>
      <c r="KAL2" s="55"/>
      <c r="KAM2" s="55"/>
      <c r="KAN2" s="55"/>
      <c r="KAO2" s="55"/>
      <c r="KAP2" s="55"/>
      <c r="KAQ2" s="55"/>
      <c r="KAR2" s="55"/>
      <c r="KAS2" s="55"/>
      <c r="KAT2" s="55"/>
      <c r="KAU2" s="55"/>
      <c r="KAV2" s="55"/>
      <c r="KAW2" s="55"/>
      <c r="KAX2" s="55"/>
      <c r="KAY2" s="55"/>
      <c r="KAZ2" s="55"/>
      <c r="KBA2" s="55"/>
      <c r="KBB2" s="55"/>
      <c r="KBC2" s="55"/>
      <c r="KBD2" s="55"/>
      <c r="KBE2" s="55"/>
      <c r="KBF2" s="55"/>
      <c r="KBG2" s="55"/>
      <c r="KBH2" s="55"/>
      <c r="KBI2" s="55"/>
      <c r="KBJ2" s="55"/>
      <c r="KBK2" s="55"/>
      <c r="KBL2" s="55"/>
      <c r="KBM2" s="55"/>
      <c r="KBN2" s="55"/>
      <c r="KBO2" s="55"/>
      <c r="KBP2" s="55"/>
      <c r="KBQ2" s="55"/>
      <c r="KBR2" s="55"/>
      <c r="KBS2" s="55"/>
      <c r="KBT2" s="55"/>
      <c r="KBU2" s="55"/>
      <c r="KBV2" s="55"/>
      <c r="KBW2" s="55"/>
      <c r="KBX2" s="55"/>
      <c r="KBY2" s="55"/>
      <c r="KBZ2" s="55"/>
      <c r="KCA2" s="55"/>
      <c r="KCB2" s="55"/>
      <c r="KCC2" s="55"/>
      <c r="KCD2" s="55"/>
      <c r="KCE2" s="55"/>
      <c r="KCF2" s="55"/>
      <c r="KCG2" s="55"/>
      <c r="KCH2" s="55"/>
      <c r="KCI2" s="55"/>
      <c r="KCJ2" s="55"/>
      <c r="KCK2" s="55"/>
      <c r="KCL2" s="55"/>
      <c r="KCM2" s="55"/>
      <c r="KCN2" s="55"/>
      <c r="KCO2" s="55"/>
      <c r="KCP2" s="55"/>
      <c r="KCQ2" s="55"/>
      <c r="KCR2" s="55"/>
      <c r="KCS2" s="55"/>
      <c r="KCT2" s="55"/>
      <c r="KCU2" s="55"/>
      <c r="KCV2" s="55"/>
      <c r="KCW2" s="55"/>
      <c r="KCX2" s="55"/>
      <c r="KCY2" s="55"/>
      <c r="KCZ2" s="55"/>
      <c r="KDA2" s="55"/>
      <c r="KDB2" s="55"/>
      <c r="KDC2" s="55"/>
      <c r="KDD2" s="55"/>
      <c r="KDE2" s="55"/>
      <c r="KDF2" s="55"/>
      <c r="KDG2" s="55"/>
      <c r="KDH2" s="55"/>
      <c r="KDI2" s="55"/>
      <c r="KDJ2" s="55"/>
      <c r="KDK2" s="55"/>
      <c r="KDL2" s="55"/>
      <c r="KDM2" s="55"/>
      <c r="KDN2" s="55"/>
      <c r="KDO2" s="55"/>
      <c r="KDP2" s="55"/>
      <c r="KDQ2" s="55"/>
      <c r="KDR2" s="55"/>
      <c r="KDS2" s="55"/>
      <c r="KDT2" s="55"/>
      <c r="KDU2" s="55"/>
      <c r="KDV2" s="55"/>
      <c r="KDW2" s="55"/>
      <c r="KDX2" s="55"/>
      <c r="KDY2" s="55"/>
      <c r="KDZ2" s="55"/>
      <c r="KEA2" s="55"/>
      <c r="KEB2" s="55"/>
      <c r="KEC2" s="55"/>
      <c r="KED2" s="55"/>
      <c r="KEE2" s="55"/>
      <c r="KEF2" s="55"/>
      <c r="KEG2" s="55"/>
      <c r="KEH2" s="55"/>
      <c r="KEI2" s="55"/>
      <c r="KEJ2" s="55"/>
      <c r="KEK2" s="55"/>
      <c r="KEL2" s="55"/>
      <c r="KEM2" s="55"/>
      <c r="KEN2" s="55"/>
      <c r="KEO2" s="55"/>
      <c r="KEP2" s="55"/>
      <c r="KEQ2" s="55"/>
      <c r="KER2" s="55"/>
      <c r="KES2" s="55"/>
      <c r="KET2" s="55"/>
      <c r="KEU2" s="55"/>
      <c r="KEV2" s="55"/>
      <c r="KEW2" s="55"/>
      <c r="KEX2" s="55"/>
      <c r="KEY2" s="55"/>
      <c r="KEZ2" s="55"/>
      <c r="KFA2" s="55"/>
      <c r="KFB2" s="55"/>
      <c r="KFC2" s="55"/>
      <c r="KFD2" s="55"/>
      <c r="KFE2" s="55"/>
      <c r="KFF2" s="55"/>
      <c r="KFG2" s="55"/>
      <c r="KFH2" s="55"/>
      <c r="KFI2" s="55"/>
      <c r="KFJ2" s="55"/>
      <c r="KFK2" s="55"/>
      <c r="KFL2" s="55"/>
      <c r="KFM2" s="55"/>
      <c r="KFN2" s="55"/>
      <c r="KFO2" s="55"/>
      <c r="KFP2" s="55"/>
      <c r="KFQ2" s="55"/>
      <c r="KFR2" s="55"/>
      <c r="KFS2" s="55"/>
      <c r="KFT2" s="55"/>
      <c r="KFU2" s="55"/>
      <c r="KFV2" s="55"/>
      <c r="KFW2" s="55"/>
      <c r="KFX2" s="55"/>
      <c r="KFY2" s="55"/>
      <c r="KFZ2" s="55"/>
      <c r="KGA2" s="55"/>
      <c r="KGB2" s="55"/>
      <c r="KGC2" s="55"/>
      <c r="KGD2" s="55"/>
      <c r="KGE2" s="55"/>
      <c r="KGF2" s="55"/>
      <c r="KGG2" s="55"/>
      <c r="KGH2" s="55"/>
      <c r="KGI2" s="55"/>
      <c r="KGJ2" s="55"/>
      <c r="KGK2" s="55"/>
      <c r="KGL2" s="55"/>
      <c r="KGM2" s="55"/>
      <c r="KGN2" s="55"/>
      <c r="KGO2" s="55"/>
      <c r="KGP2" s="55"/>
      <c r="KGQ2" s="55"/>
      <c r="KGR2" s="55"/>
      <c r="KGS2" s="55"/>
      <c r="KGT2" s="55"/>
      <c r="KGU2" s="55"/>
      <c r="KGV2" s="55"/>
      <c r="KGW2" s="55"/>
      <c r="KGX2" s="55"/>
      <c r="KGY2" s="55"/>
      <c r="KGZ2" s="55"/>
      <c r="KHA2" s="55"/>
      <c r="KHB2" s="55"/>
      <c r="KHC2" s="55"/>
      <c r="KHD2" s="55"/>
      <c r="KHE2" s="55"/>
      <c r="KHF2" s="55"/>
      <c r="KHG2" s="55"/>
      <c r="KHH2" s="55"/>
      <c r="KHI2" s="55"/>
      <c r="KHJ2" s="55"/>
      <c r="KHK2" s="55"/>
      <c r="KHL2" s="55"/>
      <c r="KHM2" s="55"/>
      <c r="KHN2" s="55"/>
      <c r="KHO2" s="55"/>
      <c r="KHP2" s="55"/>
      <c r="KHQ2" s="55"/>
      <c r="KHR2" s="55"/>
      <c r="KHS2" s="55"/>
      <c r="KHT2" s="55"/>
      <c r="KHU2" s="55"/>
      <c r="KHV2" s="55"/>
      <c r="KHW2" s="55"/>
      <c r="KHX2" s="55"/>
      <c r="KHY2" s="55"/>
      <c r="KHZ2" s="55"/>
      <c r="KIA2" s="55"/>
      <c r="KIB2" s="55"/>
      <c r="KIC2" s="55"/>
      <c r="KID2" s="55"/>
      <c r="KIE2" s="55"/>
      <c r="KIF2" s="55"/>
      <c r="KIG2" s="55"/>
      <c r="KIH2" s="55"/>
      <c r="KII2" s="55"/>
      <c r="KIJ2" s="55"/>
      <c r="KIK2" s="55"/>
      <c r="KIL2" s="55"/>
      <c r="KIM2" s="55"/>
      <c r="KIN2" s="55"/>
      <c r="KIO2" s="55"/>
      <c r="KIP2" s="55"/>
      <c r="KIQ2" s="55"/>
      <c r="KIR2" s="55"/>
      <c r="KIS2" s="55"/>
      <c r="KIT2" s="55"/>
      <c r="KIU2" s="55"/>
      <c r="KIV2" s="55"/>
      <c r="KIW2" s="55"/>
      <c r="KIX2" s="55"/>
      <c r="KIY2" s="55"/>
      <c r="KIZ2" s="55"/>
      <c r="KJA2" s="55"/>
      <c r="KJB2" s="55"/>
      <c r="KJC2" s="55"/>
      <c r="KJD2" s="55"/>
      <c r="KJE2" s="55"/>
      <c r="KJF2" s="55"/>
      <c r="KJG2" s="55"/>
      <c r="KJH2" s="55"/>
      <c r="KJI2" s="55"/>
      <c r="KJJ2" s="55"/>
      <c r="KJK2" s="55"/>
      <c r="KJL2" s="55"/>
      <c r="KJM2" s="55"/>
      <c r="KJN2" s="55"/>
      <c r="KJO2" s="55"/>
      <c r="KJP2" s="55"/>
      <c r="KJQ2" s="55"/>
      <c r="KJR2" s="55"/>
      <c r="KJS2" s="55"/>
      <c r="KJT2" s="55"/>
      <c r="KJU2" s="55"/>
      <c r="KJV2" s="55"/>
      <c r="KJW2" s="55"/>
      <c r="KJX2" s="55"/>
      <c r="KJY2" s="55"/>
      <c r="KJZ2" s="55"/>
      <c r="KKA2" s="55"/>
      <c r="KKB2" s="55"/>
      <c r="KKC2" s="55"/>
      <c r="KKD2" s="55"/>
      <c r="KKE2" s="55"/>
      <c r="KKF2" s="55"/>
      <c r="KKG2" s="55"/>
      <c r="KKH2" s="55"/>
      <c r="KKI2" s="55"/>
      <c r="KKJ2" s="55"/>
      <c r="KKK2" s="55"/>
      <c r="KKL2" s="55"/>
      <c r="KKM2" s="55"/>
      <c r="KKN2" s="55"/>
      <c r="KKO2" s="55"/>
      <c r="KKP2" s="55"/>
      <c r="KKQ2" s="55"/>
      <c r="KKR2" s="55"/>
      <c r="KKS2" s="55"/>
      <c r="KKT2" s="55"/>
      <c r="KKU2" s="55"/>
      <c r="KKV2" s="55"/>
      <c r="KKW2" s="55"/>
      <c r="KKX2" s="55"/>
      <c r="KKY2" s="55"/>
      <c r="KKZ2" s="55"/>
      <c r="KLA2" s="55"/>
      <c r="KLB2" s="55"/>
      <c r="KLC2" s="55"/>
      <c r="KLD2" s="55"/>
      <c r="KLE2" s="55"/>
      <c r="KLF2" s="55"/>
      <c r="KLG2" s="55"/>
      <c r="KLH2" s="55"/>
      <c r="KLI2" s="55"/>
      <c r="KLJ2" s="55"/>
      <c r="KLK2" s="55"/>
      <c r="KLL2" s="55"/>
      <c r="KLM2" s="55"/>
      <c r="KLN2" s="55"/>
      <c r="KLO2" s="55"/>
      <c r="KLP2" s="55"/>
      <c r="KLQ2" s="55"/>
      <c r="KLR2" s="55"/>
      <c r="KLS2" s="55"/>
      <c r="KLT2" s="55"/>
      <c r="KLU2" s="55"/>
      <c r="KLV2" s="55"/>
      <c r="KLW2" s="55"/>
      <c r="KLX2" s="55"/>
      <c r="KLY2" s="55"/>
      <c r="KLZ2" s="55"/>
      <c r="KMA2" s="55"/>
      <c r="KMB2" s="55"/>
      <c r="KMC2" s="55"/>
      <c r="KMD2" s="55"/>
      <c r="KME2" s="55"/>
      <c r="KMF2" s="55"/>
      <c r="KMG2" s="55"/>
      <c r="KMH2" s="55"/>
      <c r="KMI2" s="55"/>
      <c r="KMJ2" s="55"/>
      <c r="KMK2" s="55"/>
      <c r="KML2" s="55"/>
      <c r="KMM2" s="55"/>
      <c r="KMN2" s="55"/>
      <c r="KMO2" s="55"/>
      <c r="KMP2" s="55"/>
      <c r="KMQ2" s="55"/>
      <c r="KMR2" s="55"/>
      <c r="KMS2" s="55"/>
      <c r="KMT2" s="55"/>
      <c r="KMU2" s="55"/>
      <c r="KMV2" s="55"/>
      <c r="KMW2" s="55"/>
      <c r="KMX2" s="55"/>
      <c r="KMY2" s="55"/>
      <c r="KMZ2" s="55"/>
      <c r="KNA2" s="55"/>
      <c r="KNB2" s="55"/>
      <c r="KNC2" s="55"/>
      <c r="KND2" s="55"/>
      <c r="KNE2" s="55"/>
      <c r="KNF2" s="55"/>
      <c r="KNG2" s="55"/>
      <c r="KNH2" s="55"/>
      <c r="KNI2" s="55"/>
      <c r="KNJ2" s="55"/>
      <c r="KNK2" s="55"/>
      <c r="KNL2" s="55"/>
      <c r="KNM2" s="55"/>
      <c r="KNN2" s="55"/>
      <c r="KNO2" s="55"/>
      <c r="KNP2" s="55"/>
      <c r="KNQ2" s="55"/>
      <c r="KNR2" s="55"/>
      <c r="KNS2" s="55"/>
      <c r="KNT2" s="55"/>
      <c r="KNU2" s="55"/>
      <c r="KNV2" s="55"/>
      <c r="KNW2" s="55"/>
      <c r="KNX2" s="55"/>
      <c r="KNY2" s="55"/>
      <c r="KNZ2" s="55"/>
      <c r="KOA2" s="55"/>
      <c r="KOB2" s="55"/>
      <c r="KOC2" s="55"/>
      <c r="KOD2" s="55"/>
      <c r="KOE2" s="55"/>
      <c r="KOF2" s="55"/>
      <c r="KOG2" s="55"/>
      <c r="KOH2" s="55"/>
      <c r="KOI2" s="55"/>
      <c r="KOJ2" s="55"/>
      <c r="KOK2" s="55"/>
      <c r="KOL2" s="55"/>
      <c r="KOM2" s="55"/>
      <c r="KON2" s="55"/>
      <c r="KOO2" s="55"/>
      <c r="KOP2" s="55"/>
      <c r="KOQ2" s="55"/>
      <c r="KOR2" s="55"/>
      <c r="KOS2" s="55"/>
      <c r="KOT2" s="55"/>
      <c r="KOU2" s="55"/>
      <c r="KOV2" s="55"/>
      <c r="KOW2" s="55"/>
      <c r="KOX2" s="55"/>
      <c r="KOY2" s="55"/>
      <c r="KOZ2" s="55"/>
      <c r="KPA2" s="55"/>
      <c r="KPB2" s="55"/>
      <c r="KPC2" s="55"/>
      <c r="KPD2" s="55"/>
      <c r="KPE2" s="55"/>
      <c r="KPF2" s="55"/>
      <c r="KPG2" s="55"/>
      <c r="KPH2" s="55"/>
      <c r="KPI2" s="55"/>
      <c r="KPJ2" s="55"/>
      <c r="KPK2" s="55"/>
      <c r="KPL2" s="55"/>
      <c r="KPM2" s="55"/>
      <c r="KPN2" s="55"/>
      <c r="KPO2" s="55"/>
      <c r="KPP2" s="55"/>
      <c r="KPQ2" s="55"/>
      <c r="KPR2" s="55"/>
      <c r="KPS2" s="55"/>
      <c r="KPT2" s="55"/>
      <c r="KPU2" s="55"/>
      <c r="KPV2" s="55"/>
      <c r="KPW2" s="55"/>
      <c r="KPX2" s="55"/>
      <c r="KPY2" s="55"/>
      <c r="KPZ2" s="55"/>
      <c r="KQA2" s="55"/>
      <c r="KQB2" s="55"/>
      <c r="KQC2" s="55"/>
      <c r="KQD2" s="55"/>
      <c r="KQE2" s="55"/>
      <c r="KQF2" s="55"/>
      <c r="KQG2" s="55"/>
      <c r="KQH2" s="55"/>
      <c r="KQI2" s="55"/>
      <c r="KQJ2" s="55"/>
      <c r="KQK2" s="55"/>
      <c r="KQL2" s="55"/>
      <c r="KQM2" s="55"/>
      <c r="KQN2" s="55"/>
      <c r="KQO2" s="55"/>
      <c r="KQP2" s="55"/>
      <c r="KQQ2" s="55"/>
      <c r="KQR2" s="55"/>
      <c r="KQS2" s="55"/>
      <c r="KQT2" s="55"/>
      <c r="KQU2" s="55"/>
      <c r="KQV2" s="55"/>
      <c r="KQW2" s="55"/>
      <c r="KQX2" s="55"/>
      <c r="KQY2" s="55"/>
      <c r="KQZ2" s="55"/>
      <c r="KRA2" s="55"/>
      <c r="KRB2" s="55"/>
      <c r="KRC2" s="55"/>
      <c r="KRD2" s="55"/>
      <c r="KRE2" s="55"/>
      <c r="KRF2" s="55"/>
      <c r="KRG2" s="55"/>
      <c r="KRH2" s="55"/>
      <c r="KRI2" s="55"/>
      <c r="KRJ2" s="55"/>
      <c r="KRK2" s="55"/>
      <c r="KRL2" s="55"/>
      <c r="KRM2" s="55"/>
      <c r="KRN2" s="55"/>
      <c r="KRO2" s="55"/>
      <c r="KRP2" s="55"/>
      <c r="KRQ2" s="55"/>
      <c r="KRR2" s="55"/>
      <c r="KRS2" s="55"/>
      <c r="KRT2" s="55"/>
      <c r="KRU2" s="55"/>
      <c r="KRV2" s="55"/>
      <c r="KRW2" s="55"/>
      <c r="KRX2" s="55"/>
      <c r="KRY2" s="55"/>
      <c r="KRZ2" s="55"/>
      <c r="KSA2" s="55"/>
      <c r="KSB2" s="55"/>
      <c r="KSC2" s="55"/>
      <c r="KSD2" s="55"/>
      <c r="KSE2" s="55"/>
      <c r="KSF2" s="55"/>
      <c r="KSG2" s="55"/>
      <c r="KSH2" s="55"/>
      <c r="KSI2" s="55"/>
      <c r="KSJ2" s="55"/>
      <c r="KSK2" s="55"/>
      <c r="KSL2" s="55"/>
      <c r="KSM2" s="55"/>
      <c r="KSN2" s="55"/>
      <c r="KSO2" s="55"/>
      <c r="KSP2" s="55"/>
      <c r="KSQ2" s="55"/>
      <c r="KSR2" s="55"/>
      <c r="KSS2" s="55"/>
      <c r="KST2" s="55"/>
      <c r="KSU2" s="55"/>
      <c r="KSV2" s="55"/>
      <c r="KSW2" s="55"/>
      <c r="KSX2" s="55"/>
      <c r="KSY2" s="55"/>
      <c r="KSZ2" s="55"/>
      <c r="KTA2" s="55"/>
      <c r="KTB2" s="55"/>
      <c r="KTC2" s="55"/>
      <c r="KTD2" s="55"/>
      <c r="KTE2" s="55"/>
      <c r="KTF2" s="55"/>
      <c r="KTG2" s="55"/>
      <c r="KTH2" s="55"/>
      <c r="KTI2" s="55"/>
      <c r="KTJ2" s="55"/>
      <c r="KTK2" s="55"/>
      <c r="KTL2" s="55"/>
      <c r="KTM2" s="55"/>
      <c r="KTN2" s="55"/>
      <c r="KTO2" s="55"/>
      <c r="KTP2" s="55"/>
      <c r="KTQ2" s="55"/>
      <c r="KTR2" s="55"/>
      <c r="KTS2" s="55"/>
      <c r="KTT2" s="55"/>
      <c r="KTU2" s="55"/>
      <c r="KTV2" s="55"/>
      <c r="KTW2" s="55"/>
      <c r="KTX2" s="55"/>
      <c r="KTY2" s="55"/>
      <c r="KTZ2" s="55"/>
      <c r="KUA2" s="55"/>
      <c r="KUB2" s="55"/>
      <c r="KUC2" s="55"/>
      <c r="KUD2" s="55"/>
      <c r="KUE2" s="55"/>
      <c r="KUF2" s="55"/>
      <c r="KUG2" s="55"/>
      <c r="KUH2" s="55"/>
      <c r="KUI2" s="55"/>
      <c r="KUJ2" s="55"/>
      <c r="KUK2" s="55"/>
      <c r="KUL2" s="55"/>
      <c r="KUM2" s="55"/>
      <c r="KUN2" s="55"/>
      <c r="KUO2" s="55"/>
      <c r="KUP2" s="55"/>
      <c r="KUQ2" s="55"/>
      <c r="KUR2" s="55"/>
      <c r="KUS2" s="55"/>
      <c r="KUT2" s="55"/>
      <c r="KUU2" s="55"/>
      <c r="KUV2" s="55"/>
      <c r="KUW2" s="55"/>
      <c r="KUX2" s="55"/>
      <c r="KUY2" s="55"/>
      <c r="KUZ2" s="55"/>
      <c r="KVA2" s="55"/>
      <c r="KVB2" s="55"/>
      <c r="KVC2" s="55"/>
      <c r="KVD2" s="55"/>
      <c r="KVE2" s="55"/>
      <c r="KVF2" s="55"/>
      <c r="KVG2" s="55"/>
      <c r="KVH2" s="55"/>
      <c r="KVI2" s="55"/>
      <c r="KVJ2" s="55"/>
      <c r="KVK2" s="55"/>
      <c r="KVL2" s="55"/>
      <c r="KVM2" s="55"/>
      <c r="KVN2" s="55"/>
      <c r="KVO2" s="55"/>
      <c r="KVP2" s="55"/>
      <c r="KVQ2" s="55"/>
      <c r="KVR2" s="55"/>
      <c r="KVS2" s="55"/>
      <c r="KVT2" s="55"/>
      <c r="KVU2" s="55"/>
      <c r="KVV2" s="55"/>
      <c r="KVW2" s="55"/>
      <c r="KVX2" s="55"/>
      <c r="KVY2" s="55"/>
      <c r="KVZ2" s="55"/>
      <c r="KWA2" s="55"/>
      <c r="KWB2" s="55"/>
      <c r="KWC2" s="55"/>
      <c r="KWD2" s="55"/>
      <c r="KWE2" s="55"/>
      <c r="KWF2" s="55"/>
      <c r="KWG2" s="55"/>
      <c r="KWH2" s="55"/>
      <c r="KWI2" s="55"/>
      <c r="KWJ2" s="55"/>
      <c r="KWK2" s="55"/>
      <c r="KWL2" s="55"/>
      <c r="KWM2" s="55"/>
      <c r="KWN2" s="55"/>
      <c r="KWO2" s="55"/>
      <c r="KWP2" s="55"/>
      <c r="KWQ2" s="55"/>
      <c r="KWR2" s="55"/>
      <c r="KWS2" s="55"/>
      <c r="KWT2" s="55"/>
      <c r="KWU2" s="55"/>
      <c r="KWV2" s="55"/>
      <c r="KWW2" s="55"/>
      <c r="KWX2" s="55"/>
      <c r="KWY2" s="55"/>
      <c r="KWZ2" s="55"/>
      <c r="KXA2" s="55"/>
      <c r="KXB2" s="55"/>
      <c r="KXC2" s="55"/>
      <c r="KXD2" s="55"/>
      <c r="KXE2" s="55"/>
      <c r="KXF2" s="55"/>
      <c r="KXG2" s="55"/>
      <c r="KXH2" s="55"/>
      <c r="KXI2" s="55"/>
      <c r="KXJ2" s="55"/>
      <c r="KXK2" s="55"/>
      <c r="KXL2" s="55"/>
      <c r="KXM2" s="55"/>
      <c r="KXN2" s="55"/>
      <c r="KXO2" s="55"/>
      <c r="KXP2" s="55"/>
      <c r="KXQ2" s="55"/>
      <c r="KXR2" s="55"/>
      <c r="KXS2" s="55"/>
      <c r="KXT2" s="55"/>
      <c r="KXU2" s="55"/>
      <c r="KXV2" s="55"/>
      <c r="KXW2" s="55"/>
      <c r="KXX2" s="55"/>
      <c r="KXY2" s="55"/>
      <c r="KXZ2" s="55"/>
      <c r="KYA2" s="55"/>
      <c r="KYB2" s="55"/>
      <c r="KYC2" s="55"/>
      <c r="KYD2" s="55"/>
      <c r="KYE2" s="55"/>
      <c r="KYF2" s="55"/>
      <c r="KYG2" s="55"/>
      <c r="KYH2" s="55"/>
      <c r="KYI2" s="55"/>
      <c r="KYJ2" s="55"/>
      <c r="KYK2" s="55"/>
      <c r="KYL2" s="55"/>
      <c r="KYM2" s="55"/>
      <c r="KYN2" s="55"/>
      <c r="KYO2" s="55"/>
      <c r="KYP2" s="55"/>
      <c r="KYQ2" s="55"/>
      <c r="KYR2" s="55"/>
      <c r="KYS2" s="55"/>
      <c r="KYT2" s="55"/>
      <c r="KYU2" s="55"/>
      <c r="KYV2" s="55"/>
      <c r="KYW2" s="55"/>
      <c r="KYX2" s="55"/>
      <c r="KYY2" s="55"/>
      <c r="KYZ2" s="55"/>
      <c r="KZA2" s="55"/>
      <c r="KZB2" s="55"/>
      <c r="KZC2" s="55"/>
      <c r="KZD2" s="55"/>
      <c r="KZE2" s="55"/>
      <c r="KZF2" s="55"/>
      <c r="KZG2" s="55"/>
      <c r="KZH2" s="55"/>
      <c r="KZI2" s="55"/>
      <c r="KZJ2" s="55"/>
      <c r="KZK2" s="55"/>
      <c r="KZL2" s="55"/>
      <c r="KZM2" s="55"/>
      <c r="KZN2" s="55"/>
      <c r="KZO2" s="55"/>
      <c r="KZP2" s="55"/>
      <c r="KZQ2" s="55"/>
      <c r="KZR2" s="55"/>
      <c r="KZS2" s="55"/>
      <c r="KZT2" s="55"/>
      <c r="KZU2" s="55"/>
      <c r="KZV2" s="55"/>
      <c r="KZW2" s="55"/>
      <c r="KZX2" s="55"/>
      <c r="KZY2" s="55"/>
      <c r="KZZ2" s="55"/>
      <c r="LAA2" s="55"/>
      <c r="LAB2" s="55"/>
      <c r="LAC2" s="55"/>
      <c r="LAD2" s="55"/>
      <c r="LAE2" s="55"/>
      <c r="LAF2" s="55"/>
      <c r="LAG2" s="55"/>
      <c r="LAH2" s="55"/>
      <c r="LAI2" s="55"/>
      <c r="LAJ2" s="55"/>
      <c r="LAK2" s="55"/>
      <c r="LAL2" s="55"/>
      <c r="LAM2" s="55"/>
      <c r="LAN2" s="55"/>
      <c r="LAO2" s="55"/>
      <c r="LAP2" s="55"/>
      <c r="LAQ2" s="55"/>
      <c r="LAR2" s="55"/>
      <c r="LAS2" s="55"/>
      <c r="LAT2" s="55"/>
      <c r="LAU2" s="55"/>
      <c r="LAV2" s="55"/>
      <c r="LAW2" s="55"/>
      <c r="LAX2" s="55"/>
      <c r="LAY2" s="55"/>
      <c r="LAZ2" s="55"/>
      <c r="LBA2" s="55"/>
      <c r="LBB2" s="55"/>
      <c r="LBC2" s="55"/>
      <c r="LBD2" s="55"/>
      <c r="LBE2" s="55"/>
      <c r="LBF2" s="55"/>
      <c r="LBG2" s="55"/>
      <c r="LBH2" s="55"/>
      <c r="LBI2" s="55"/>
      <c r="LBJ2" s="55"/>
      <c r="LBK2" s="55"/>
      <c r="LBL2" s="55"/>
      <c r="LBM2" s="55"/>
      <c r="LBN2" s="55"/>
      <c r="LBO2" s="55"/>
      <c r="LBP2" s="55"/>
      <c r="LBQ2" s="55"/>
      <c r="LBR2" s="55"/>
      <c r="LBS2" s="55"/>
      <c r="LBT2" s="55"/>
      <c r="LBU2" s="55"/>
      <c r="LBV2" s="55"/>
      <c r="LBW2" s="55"/>
      <c r="LBX2" s="55"/>
      <c r="LBY2" s="55"/>
      <c r="LBZ2" s="55"/>
      <c r="LCA2" s="55"/>
      <c r="LCB2" s="55"/>
      <c r="LCC2" s="55"/>
      <c r="LCD2" s="55"/>
      <c r="LCE2" s="55"/>
      <c r="LCF2" s="55"/>
      <c r="LCG2" s="55"/>
      <c r="LCH2" s="55"/>
      <c r="LCI2" s="55"/>
      <c r="LCJ2" s="55"/>
      <c r="LCK2" s="55"/>
      <c r="LCL2" s="55"/>
      <c r="LCM2" s="55"/>
      <c r="LCN2" s="55"/>
      <c r="LCO2" s="55"/>
      <c r="LCP2" s="55"/>
      <c r="LCQ2" s="55"/>
      <c r="LCR2" s="55"/>
      <c r="LCS2" s="55"/>
      <c r="LCT2" s="55"/>
      <c r="LCU2" s="55"/>
      <c r="LCV2" s="55"/>
      <c r="LCW2" s="55"/>
      <c r="LCX2" s="55"/>
      <c r="LCY2" s="55"/>
      <c r="LCZ2" s="55"/>
      <c r="LDA2" s="55"/>
      <c r="LDB2" s="55"/>
      <c r="LDC2" s="55"/>
      <c r="LDD2" s="55"/>
      <c r="LDE2" s="55"/>
      <c r="LDF2" s="55"/>
      <c r="LDG2" s="55"/>
      <c r="LDH2" s="55"/>
      <c r="LDI2" s="55"/>
      <c r="LDJ2" s="55"/>
      <c r="LDK2" s="55"/>
      <c r="LDL2" s="55"/>
      <c r="LDM2" s="55"/>
      <c r="LDN2" s="55"/>
      <c r="LDO2" s="55"/>
      <c r="LDP2" s="55"/>
      <c r="LDQ2" s="55"/>
      <c r="LDR2" s="55"/>
      <c r="LDS2" s="55"/>
      <c r="LDT2" s="55"/>
      <c r="LDU2" s="55"/>
      <c r="LDV2" s="55"/>
      <c r="LDW2" s="55"/>
      <c r="LDX2" s="55"/>
      <c r="LDY2" s="55"/>
      <c r="LDZ2" s="55"/>
      <c r="LEA2" s="55"/>
      <c r="LEB2" s="55"/>
      <c r="LEC2" s="55"/>
      <c r="LED2" s="55"/>
      <c r="LEE2" s="55"/>
      <c r="LEF2" s="55"/>
      <c r="LEG2" s="55"/>
      <c r="LEH2" s="55"/>
      <c r="LEI2" s="55"/>
      <c r="LEJ2" s="55"/>
      <c r="LEK2" s="55"/>
      <c r="LEL2" s="55"/>
      <c r="LEM2" s="55"/>
      <c r="LEN2" s="55"/>
      <c r="LEO2" s="55"/>
      <c r="LEP2" s="55"/>
      <c r="LEQ2" s="55"/>
      <c r="LER2" s="55"/>
      <c r="LES2" s="55"/>
      <c r="LET2" s="55"/>
      <c r="LEU2" s="55"/>
      <c r="LEV2" s="55"/>
      <c r="LEW2" s="55"/>
      <c r="LEX2" s="55"/>
      <c r="LEY2" s="55"/>
      <c r="LEZ2" s="55"/>
      <c r="LFA2" s="55"/>
      <c r="LFB2" s="55"/>
      <c r="LFC2" s="55"/>
      <c r="LFD2" s="55"/>
      <c r="LFE2" s="55"/>
      <c r="LFF2" s="55"/>
      <c r="LFG2" s="55"/>
      <c r="LFH2" s="55"/>
      <c r="LFI2" s="55"/>
      <c r="LFJ2" s="55"/>
      <c r="LFK2" s="55"/>
      <c r="LFL2" s="55"/>
      <c r="LFM2" s="55"/>
      <c r="LFN2" s="55"/>
      <c r="LFO2" s="55"/>
      <c r="LFP2" s="55"/>
      <c r="LFQ2" s="55"/>
      <c r="LFR2" s="55"/>
      <c r="LFS2" s="55"/>
      <c r="LFT2" s="55"/>
      <c r="LFU2" s="55"/>
      <c r="LFV2" s="55"/>
      <c r="LFW2" s="55"/>
      <c r="LFX2" s="55"/>
      <c r="LFY2" s="55"/>
      <c r="LFZ2" s="55"/>
      <c r="LGA2" s="55"/>
      <c r="LGB2" s="55"/>
      <c r="LGC2" s="55"/>
      <c r="LGD2" s="55"/>
      <c r="LGE2" s="55"/>
      <c r="LGF2" s="55"/>
      <c r="LGG2" s="55"/>
      <c r="LGH2" s="55"/>
      <c r="LGI2" s="55"/>
      <c r="LGJ2" s="55"/>
      <c r="LGK2" s="55"/>
      <c r="LGL2" s="55"/>
      <c r="LGM2" s="55"/>
      <c r="LGN2" s="55"/>
      <c r="LGO2" s="55"/>
      <c r="LGP2" s="55"/>
      <c r="LGQ2" s="55"/>
      <c r="LGR2" s="55"/>
      <c r="LGS2" s="55"/>
      <c r="LGT2" s="55"/>
      <c r="LGU2" s="55"/>
      <c r="LGV2" s="55"/>
      <c r="LGW2" s="55"/>
      <c r="LGX2" s="55"/>
      <c r="LGY2" s="55"/>
      <c r="LGZ2" s="55"/>
      <c r="LHA2" s="55"/>
      <c r="LHB2" s="55"/>
      <c r="LHC2" s="55"/>
      <c r="LHD2" s="55"/>
      <c r="LHE2" s="55"/>
      <c r="LHF2" s="55"/>
      <c r="LHG2" s="55"/>
      <c r="LHH2" s="55"/>
      <c r="LHI2" s="55"/>
      <c r="LHJ2" s="55"/>
      <c r="LHK2" s="55"/>
      <c r="LHL2" s="55"/>
      <c r="LHM2" s="55"/>
      <c r="LHN2" s="55"/>
      <c r="LHO2" s="55"/>
      <c r="LHP2" s="55"/>
      <c r="LHQ2" s="55"/>
      <c r="LHR2" s="55"/>
      <c r="LHS2" s="55"/>
      <c r="LHT2" s="55"/>
      <c r="LHU2" s="55"/>
      <c r="LHV2" s="55"/>
      <c r="LHW2" s="55"/>
      <c r="LHX2" s="55"/>
      <c r="LHY2" s="55"/>
      <c r="LHZ2" s="55"/>
      <c r="LIA2" s="55"/>
      <c r="LIB2" s="55"/>
      <c r="LIC2" s="55"/>
      <c r="LID2" s="55"/>
      <c r="LIE2" s="55"/>
      <c r="LIF2" s="55"/>
      <c r="LIG2" s="55"/>
      <c r="LIH2" s="55"/>
      <c r="LII2" s="55"/>
      <c r="LIJ2" s="55"/>
      <c r="LIK2" s="55"/>
      <c r="LIL2" s="55"/>
      <c r="LIM2" s="55"/>
      <c r="LIN2" s="55"/>
      <c r="LIO2" s="55"/>
      <c r="LIP2" s="55"/>
      <c r="LIQ2" s="55"/>
      <c r="LIR2" s="55"/>
      <c r="LIS2" s="55"/>
      <c r="LIT2" s="55"/>
      <c r="LIU2" s="55"/>
      <c r="LIV2" s="55"/>
      <c r="LIW2" s="55"/>
      <c r="LIX2" s="55"/>
      <c r="LIY2" s="55"/>
      <c r="LIZ2" s="55"/>
      <c r="LJA2" s="55"/>
      <c r="LJB2" s="55"/>
      <c r="LJC2" s="55"/>
      <c r="LJD2" s="55"/>
      <c r="LJE2" s="55"/>
      <c r="LJF2" s="55"/>
      <c r="LJG2" s="55"/>
      <c r="LJH2" s="55"/>
      <c r="LJI2" s="55"/>
      <c r="LJJ2" s="55"/>
      <c r="LJK2" s="55"/>
      <c r="LJL2" s="55"/>
      <c r="LJM2" s="55"/>
      <c r="LJN2" s="55"/>
      <c r="LJO2" s="55"/>
      <c r="LJP2" s="55"/>
      <c r="LJQ2" s="55"/>
      <c r="LJR2" s="55"/>
      <c r="LJS2" s="55"/>
      <c r="LJT2" s="55"/>
      <c r="LJU2" s="55"/>
      <c r="LJV2" s="55"/>
      <c r="LJW2" s="55"/>
      <c r="LJX2" s="55"/>
      <c r="LJY2" s="55"/>
      <c r="LJZ2" s="55"/>
      <c r="LKA2" s="55"/>
      <c r="LKB2" s="55"/>
      <c r="LKC2" s="55"/>
      <c r="LKD2" s="55"/>
      <c r="LKE2" s="55"/>
      <c r="LKF2" s="55"/>
      <c r="LKG2" s="55"/>
      <c r="LKH2" s="55"/>
      <c r="LKI2" s="55"/>
      <c r="LKJ2" s="55"/>
      <c r="LKK2" s="55"/>
      <c r="LKL2" s="55"/>
      <c r="LKM2" s="55"/>
      <c r="LKN2" s="55"/>
      <c r="LKO2" s="55"/>
      <c r="LKP2" s="55"/>
      <c r="LKQ2" s="55"/>
      <c r="LKR2" s="55"/>
      <c r="LKS2" s="55"/>
      <c r="LKT2" s="55"/>
      <c r="LKU2" s="55"/>
      <c r="LKV2" s="55"/>
      <c r="LKW2" s="55"/>
      <c r="LKX2" s="55"/>
      <c r="LKY2" s="55"/>
      <c r="LKZ2" s="55"/>
      <c r="LLA2" s="55"/>
      <c r="LLB2" s="55"/>
      <c r="LLC2" s="55"/>
      <c r="LLD2" s="55"/>
      <c r="LLE2" s="55"/>
      <c r="LLF2" s="55"/>
      <c r="LLG2" s="55"/>
      <c r="LLH2" s="55"/>
      <c r="LLI2" s="55"/>
      <c r="LLJ2" s="55"/>
      <c r="LLK2" s="55"/>
      <c r="LLL2" s="55"/>
      <c r="LLM2" s="55"/>
      <c r="LLN2" s="55"/>
      <c r="LLO2" s="55"/>
      <c r="LLP2" s="55"/>
      <c r="LLQ2" s="55"/>
      <c r="LLR2" s="55"/>
      <c r="LLS2" s="55"/>
      <c r="LLT2" s="55"/>
      <c r="LLU2" s="55"/>
      <c r="LLV2" s="55"/>
      <c r="LLW2" s="55"/>
      <c r="LLX2" s="55"/>
      <c r="LLY2" s="55"/>
      <c r="LLZ2" s="55"/>
      <c r="LMA2" s="55"/>
      <c r="LMB2" s="55"/>
      <c r="LMC2" s="55"/>
      <c r="LMD2" s="55"/>
      <c r="LME2" s="55"/>
      <c r="LMF2" s="55"/>
      <c r="LMG2" s="55"/>
      <c r="LMH2" s="55"/>
      <c r="LMI2" s="55"/>
      <c r="LMJ2" s="55"/>
      <c r="LMK2" s="55"/>
      <c r="LML2" s="55"/>
      <c r="LMM2" s="55"/>
      <c r="LMN2" s="55"/>
      <c r="LMO2" s="55"/>
      <c r="LMP2" s="55"/>
      <c r="LMQ2" s="55"/>
      <c r="LMR2" s="55"/>
      <c r="LMS2" s="55"/>
      <c r="LMT2" s="55"/>
      <c r="LMU2" s="55"/>
      <c r="LMV2" s="55"/>
      <c r="LMW2" s="55"/>
      <c r="LMX2" s="55"/>
      <c r="LMY2" s="55"/>
      <c r="LMZ2" s="55"/>
      <c r="LNA2" s="55"/>
      <c r="LNB2" s="55"/>
      <c r="LNC2" s="55"/>
      <c r="LND2" s="55"/>
      <c r="LNE2" s="55"/>
      <c r="LNF2" s="55"/>
      <c r="LNG2" s="55"/>
      <c r="LNH2" s="55"/>
      <c r="LNI2" s="55"/>
      <c r="LNJ2" s="55"/>
      <c r="LNK2" s="55"/>
      <c r="LNL2" s="55"/>
      <c r="LNM2" s="55"/>
      <c r="LNN2" s="55"/>
      <c r="LNO2" s="55"/>
      <c r="LNP2" s="55"/>
      <c r="LNQ2" s="55"/>
      <c r="LNR2" s="55"/>
      <c r="LNS2" s="55"/>
      <c r="LNT2" s="55"/>
      <c r="LNU2" s="55"/>
      <c r="LNV2" s="55"/>
      <c r="LNW2" s="55"/>
      <c r="LNX2" s="55"/>
      <c r="LNY2" s="55"/>
      <c r="LNZ2" s="55"/>
      <c r="LOA2" s="55"/>
      <c r="LOB2" s="55"/>
      <c r="LOC2" s="55"/>
      <c r="LOD2" s="55"/>
      <c r="LOE2" s="55"/>
      <c r="LOF2" s="55"/>
      <c r="LOG2" s="55"/>
      <c r="LOH2" s="55"/>
      <c r="LOI2" s="55"/>
      <c r="LOJ2" s="55"/>
      <c r="LOK2" s="55"/>
      <c r="LOL2" s="55"/>
      <c r="LOM2" s="55"/>
      <c r="LON2" s="55"/>
      <c r="LOO2" s="55"/>
      <c r="LOP2" s="55"/>
      <c r="LOQ2" s="55"/>
      <c r="LOR2" s="55"/>
      <c r="LOS2" s="55"/>
      <c r="LOT2" s="55"/>
      <c r="LOU2" s="55"/>
      <c r="LOV2" s="55"/>
      <c r="LOW2" s="55"/>
      <c r="LOX2" s="55"/>
      <c r="LOY2" s="55"/>
      <c r="LOZ2" s="55"/>
      <c r="LPA2" s="55"/>
      <c r="LPB2" s="55"/>
      <c r="LPC2" s="55"/>
      <c r="LPD2" s="55"/>
      <c r="LPE2" s="55"/>
      <c r="LPF2" s="55"/>
      <c r="LPG2" s="55"/>
      <c r="LPH2" s="55"/>
      <c r="LPI2" s="55"/>
      <c r="LPJ2" s="55"/>
      <c r="LPK2" s="55"/>
      <c r="LPL2" s="55"/>
      <c r="LPM2" s="55"/>
      <c r="LPN2" s="55"/>
      <c r="LPO2" s="55"/>
      <c r="LPP2" s="55"/>
      <c r="LPQ2" s="55"/>
      <c r="LPR2" s="55"/>
      <c r="LPS2" s="55"/>
      <c r="LPT2" s="55"/>
      <c r="LPU2" s="55"/>
      <c r="LPV2" s="55"/>
      <c r="LPW2" s="55"/>
      <c r="LPX2" s="55"/>
      <c r="LPY2" s="55"/>
      <c r="LPZ2" s="55"/>
      <c r="LQA2" s="55"/>
      <c r="LQB2" s="55"/>
      <c r="LQC2" s="55"/>
      <c r="LQD2" s="55"/>
      <c r="LQE2" s="55"/>
      <c r="LQF2" s="55"/>
      <c r="LQG2" s="55"/>
      <c r="LQH2" s="55"/>
      <c r="LQI2" s="55"/>
      <c r="LQJ2" s="55"/>
      <c r="LQK2" s="55"/>
      <c r="LQL2" s="55"/>
      <c r="LQM2" s="55"/>
      <c r="LQN2" s="55"/>
      <c r="LQO2" s="55"/>
      <c r="LQP2" s="55"/>
      <c r="LQQ2" s="55"/>
      <c r="LQR2" s="55"/>
      <c r="LQS2" s="55"/>
      <c r="LQT2" s="55"/>
      <c r="LQU2" s="55"/>
      <c r="LQV2" s="55"/>
      <c r="LQW2" s="55"/>
      <c r="LQX2" s="55"/>
      <c r="LQY2" s="55"/>
      <c r="LQZ2" s="55"/>
      <c r="LRA2" s="55"/>
      <c r="LRB2" s="55"/>
      <c r="LRC2" s="55"/>
      <c r="LRD2" s="55"/>
      <c r="LRE2" s="55"/>
      <c r="LRF2" s="55"/>
      <c r="LRG2" s="55"/>
      <c r="LRH2" s="55"/>
      <c r="LRI2" s="55"/>
      <c r="LRJ2" s="55"/>
      <c r="LRK2" s="55"/>
      <c r="LRL2" s="55"/>
      <c r="LRM2" s="55"/>
      <c r="LRN2" s="55"/>
      <c r="LRO2" s="55"/>
      <c r="LRP2" s="55"/>
      <c r="LRQ2" s="55"/>
      <c r="LRR2" s="55"/>
      <c r="LRS2" s="55"/>
      <c r="LRT2" s="55"/>
      <c r="LRU2" s="55"/>
      <c r="LRV2" s="55"/>
      <c r="LRW2" s="55"/>
      <c r="LRX2" s="55"/>
      <c r="LRY2" s="55"/>
      <c r="LRZ2" s="55"/>
      <c r="LSA2" s="55"/>
      <c r="LSB2" s="55"/>
      <c r="LSC2" s="55"/>
      <c r="LSD2" s="55"/>
      <c r="LSE2" s="55"/>
      <c r="LSF2" s="55"/>
      <c r="LSG2" s="55"/>
      <c r="LSH2" s="55"/>
      <c r="LSI2" s="55"/>
      <c r="LSJ2" s="55"/>
      <c r="LSK2" s="55"/>
      <c r="LSL2" s="55"/>
      <c r="LSM2" s="55"/>
      <c r="LSN2" s="55"/>
      <c r="LSO2" s="55"/>
      <c r="LSP2" s="55"/>
      <c r="LSQ2" s="55"/>
      <c r="LSR2" s="55"/>
      <c r="LSS2" s="55"/>
      <c r="LST2" s="55"/>
      <c r="LSU2" s="55"/>
      <c r="LSV2" s="55"/>
      <c r="LSW2" s="55"/>
      <c r="LSX2" s="55"/>
      <c r="LSY2" s="55"/>
      <c r="LSZ2" s="55"/>
      <c r="LTA2" s="55"/>
      <c r="LTB2" s="55"/>
      <c r="LTC2" s="55"/>
      <c r="LTD2" s="55"/>
      <c r="LTE2" s="55"/>
      <c r="LTF2" s="55"/>
      <c r="LTG2" s="55"/>
      <c r="LTH2" s="55"/>
      <c r="LTI2" s="55"/>
      <c r="LTJ2" s="55"/>
      <c r="LTK2" s="55"/>
      <c r="LTL2" s="55"/>
      <c r="LTM2" s="55"/>
      <c r="LTN2" s="55"/>
      <c r="LTO2" s="55"/>
      <c r="LTP2" s="55"/>
      <c r="LTQ2" s="55"/>
      <c r="LTR2" s="55"/>
      <c r="LTS2" s="55"/>
      <c r="LTT2" s="55"/>
      <c r="LTU2" s="55"/>
      <c r="LTV2" s="55"/>
      <c r="LTW2" s="55"/>
      <c r="LTX2" s="55"/>
      <c r="LTY2" s="55"/>
      <c r="LTZ2" s="55"/>
      <c r="LUA2" s="55"/>
      <c r="LUB2" s="55"/>
      <c r="LUC2" s="55"/>
      <c r="LUD2" s="55"/>
      <c r="LUE2" s="55"/>
      <c r="LUF2" s="55"/>
      <c r="LUG2" s="55"/>
      <c r="LUH2" s="55"/>
      <c r="LUI2" s="55"/>
      <c r="LUJ2" s="55"/>
      <c r="LUK2" s="55"/>
      <c r="LUL2" s="55"/>
      <c r="LUM2" s="55"/>
      <c r="LUN2" s="55"/>
      <c r="LUO2" s="55"/>
      <c r="LUP2" s="55"/>
      <c r="LUQ2" s="55"/>
      <c r="LUR2" s="55"/>
      <c r="LUS2" s="55"/>
      <c r="LUT2" s="55"/>
      <c r="LUU2" s="55"/>
      <c r="LUV2" s="55"/>
      <c r="LUW2" s="55"/>
      <c r="LUX2" s="55"/>
      <c r="LUY2" s="55"/>
      <c r="LUZ2" s="55"/>
      <c r="LVA2" s="55"/>
      <c r="LVB2" s="55"/>
      <c r="LVC2" s="55"/>
      <c r="LVD2" s="55"/>
      <c r="LVE2" s="55"/>
      <c r="LVF2" s="55"/>
      <c r="LVG2" s="55"/>
      <c r="LVH2" s="55"/>
      <c r="LVI2" s="55"/>
      <c r="LVJ2" s="55"/>
      <c r="LVK2" s="55"/>
      <c r="LVL2" s="55"/>
      <c r="LVM2" s="55"/>
      <c r="LVN2" s="55"/>
      <c r="LVO2" s="55"/>
      <c r="LVP2" s="55"/>
      <c r="LVQ2" s="55"/>
      <c r="LVR2" s="55"/>
      <c r="LVS2" s="55"/>
      <c r="LVT2" s="55"/>
      <c r="LVU2" s="55"/>
      <c r="LVV2" s="55"/>
      <c r="LVW2" s="55"/>
      <c r="LVX2" s="55"/>
      <c r="LVY2" s="55"/>
      <c r="LVZ2" s="55"/>
      <c r="LWA2" s="55"/>
      <c r="LWB2" s="55"/>
      <c r="LWC2" s="55"/>
      <c r="LWD2" s="55"/>
      <c r="LWE2" s="55"/>
      <c r="LWF2" s="55"/>
      <c r="LWG2" s="55"/>
      <c r="LWH2" s="55"/>
      <c r="LWI2" s="55"/>
      <c r="LWJ2" s="55"/>
      <c r="LWK2" s="55"/>
      <c r="LWL2" s="55"/>
      <c r="LWM2" s="55"/>
      <c r="LWN2" s="55"/>
      <c r="LWO2" s="55"/>
      <c r="LWP2" s="55"/>
      <c r="LWQ2" s="55"/>
      <c r="LWR2" s="55"/>
      <c r="LWS2" s="55"/>
      <c r="LWT2" s="55"/>
      <c r="LWU2" s="55"/>
      <c r="LWV2" s="55"/>
      <c r="LWW2" s="55"/>
      <c r="LWX2" s="55"/>
      <c r="LWY2" s="55"/>
      <c r="LWZ2" s="55"/>
      <c r="LXA2" s="55"/>
      <c r="LXB2" s="55"/>
      <c r="LXC2" s="55"/>
      <c r="LXD2" s="55"/>
      <c r="LXE2" s="55"/>
      <c r="LXF2" s="55"/>
      <c r="LXG2" s="55"/>
      <c r="LXH2" s="55"/>
      <c r="LXI2" s="55"/>
      <c r="LXJ2" s="55"/>
      <c r="LXK2" s="55"/>
      <c r="LXL2" s="55"/>
      <c r="LXM2" s="55"/>
      <c r="LXN2" s="55"/>
      <c r="LXO2" s="55"/>
      <c r="LXP2" s="55"/>
      <c r="LXQ2" s="55"/>
      <c r="LXR2" s="55"/>
      <c r="LXS2" s="55"/>
      <c r="LXT2" s="55"/>
      <c r="LXU2" s="55"/>
      <c r="LXV2" s="55"/>
      <c r="LXW2" s="55"/>
      <c r="LXX2" s="55"/>
      <c r="LXY2" s="55"/>
      <c r="LXZ2" s="55"/>
      <c r="LYA2" s="55"/>
      <c r="LYB2" s="55"/>
      <c r="LYC2" s="55"/>
      <c r="LYD2" s="55"/>
      <c r="LYE2" s="55"/>
      <c r="LYF2" s="55"/>
      <c r="LYG2" s="55"/>
      <c r="LYH2" s="55"/>
      <c r="LYI2" s="55"/>
      <c r="LYJ2" s="55"/>
      <c r="LYK2" s="55"/>
      <c r="LYL2" s="55"/>
      <c r="LYM2" s="55"/>
      <c r="LYN2" s="55"/>
      <c r="LYO2" s="55"/>
      <c r="LYP2" s="55"/>
      <c r="LYQ2" s="55"/>
      <c r="LYR2" s="55"/>
      <c r="LYS2" s="55"/>
      <c r="LYT2" s="55"/>
      <c r="LYU2" s="55"/>
      <c r="LYV2" s="55"/>
      <c r="LYW2" s="55"/>
      <c r="LYX2" s="55"/>
      <c r="LYY2" s="55"/>
      <c r="LYZ2" s="55"/>
      <c r="LZA2" s="55"/>
      <c r="LZB2" s="55"/>
      <c r="LZC2" s="55"/>
      <c r="LZD2" s="55"/>
      <c r="LZE2" s="55"/>
      <c r="LZF2" s="55"/>
      <c r="LZG2" s="55"/>
      <c r="LZH2" s="55"/>
      <c r="LZI2" s="55"/>
      <c r="LZJ2" s="55"/>
      <c r="LZK2" s="55"/>
      <c r="LZL2" s="55"/>
      <c r="LZM2" s="55"/>
      <c r="LZN2" s="55"/>
      <c r="LZO2" s="55"/>
      <c r="LZP2" s="55"/>
      <c r="LZQ2" s="55"/>
      <c r="LZR2" s="55"/>
      <c r="LZS2" s="55"/>
      <c r="LZT2" s="55"/>
      <c r="LZU2" s="55"/>
      <c r="LZV2" s="55"/>
      <c r="LZW2" s="55"/>
      <c r="LZX2" s="55"/>
      <c r="LZY2" s="55"/>
      <c r="LZZ2" s="55"/>
      <c r="MAA2" s="55"/>
      <c r="MAB2" s="55"/>
      <c r="MAC2" s="55"/>
      <c r="MAD2" s="55"/>
      <c r="MAE2" s="55"/>
      <c r="MAF2" s="55"/>
      <c r="MAG2" s="55"/>
      <c r="MAH2" s="55"/>
      <c r="MAI2" s="55"/>
      <c r="MAJ2" s="55"/>
      <c r="MAK2" s="55"/>
      <c r="MAL2" s="55"/>
      <c r="MAM2" s="55"/>
      <c r="MAN2" s="55"/>
      <c r="MAO2" s="55"/>
      <c r="MAP2" s="55"/>
      <c r="MAQ2" s="55"/>
      <c r="MAR2" s="55"/>
      <c r="MAS2" s="55"/>
      <c r="MAT2" s="55"/>
      <c r="MAU2" s="55"/>
      <c r="MAV2" s="55"/>
      <c r="MAW2" s="55"/>
      <c r="MAX2" s="55"/>
      <c r="MAY2" s="55"/>
      <c r="MAZ2" s="55"/>
      <c r="MBA2" s="55"/>
      <c r="MBB2" s="55"/>
      <c r="MBC2" s="55"/>
      <c r="MBD2" s="55"/>
      <c r="MBE2" s="55"/>
      <c r="MBF2" s="55"/>
      <c r="MBG2" s="55"/>
      <c r="MBH2" s="55"/>
      <c r="MBI2" s="55"/>
      <c r="MBJ2" s="55"/>
      <c r="MBK2" s="55"/>
      <c r="MBL2" s="55"/>
      <c r="MBM2" s="55"/>
      <c r="MBN2" s="55"/>
      <c r="MBO2" s="55"/>
      <c r="MBP2" s="55"/>
      <c r="MBQ2" s="55"/>
      <c r="MBR2" s="55"/>
      <c r="MBS2" s="55"/>
      <c r="MBT2" s="55"/>
      <c r="MBU2" s="55"/>
      <c r="MBV2" s="55"/>
      <c r="MBW2" s="55"/>
      <c r="MBX2" s="55"/>
      <c r="MBY2" s="55"/>
      <c r="MBZ2" s="55"/>
      <c r="MCA2" s="55"/>
      <c r="MCB2" s="55"/>
      <c r="MCC2" s="55"/>
      <c r="MCD2" s="55"/>
      <c r="MCE2" s="55"/>
      <c r="MCF2" s="55"/>
      <c r="MCG2" s="55"/>
      <c r="MCH2" s="55"/>
      <c r="MCI2" s="55"/>
      <c r="MCJ2" s="55"/>
      <c r="MCK2" s="55"/>
      <c r="MCL2" s="55"/>
      <c r="MCM2" s="55"/>
      <c r="MCN2" s="55"/>
      <c r="MCO2" s="55"/>
      <c r="MCP2" s="55"/>
      <c r="MCQ2" s="55"/>
      <c r="MCR2" s="55"/>
      <c r="MCS2" s="55"/>
      <c r="MCT2" s="55"/>
      <c r="MCU2" s="55"/>
      <c r="MCV2" s="55"/>
      <c r="MCW2" s="55"/>
      <c r="MCX2" s="55"/>
      <c r="MCY2" s="55"/>
      <c r="MCZ2" s="55"/>
      <c r="MDA2" s="55"/>
      <c r="MDB2" s="55"/>
      <c r="MDC2" s="55"/>
      <c r="MDD2" s="55"/>
      <c r="MDE2" s="55"/>
      <c r="MDF2" s="55"/>
      <c r="MDG2" s="55"/>
      <c r="MDH2" s="55"/>
      <c r="MDI2" s="55"/>
      <c r="MDJ2" s="55"/>
      <c r="MDK2" s="55"/>
      <c r="MDL2" s="55"/>
      <c r="MDM2" s="55"/>
      <c r="MDN2" s="55"/>
      <c r="MDO2" s="55"/>
      <c r="MDP2" s="55"/>
      <c r="MDQ2" s="55"/>
      <c r="MDR2" s="55"/>
      <c r="MDS2" s="55"/>
      <c r="MDT2" s="55"/>
      <c r="MDU2" s="55"/>
      <c r="MDV2" s="55"/>
      <c r="MDW2" s="55"/>
      <c r="MDX2" s="55"/>
      <c r="MDY2" s="55"/>
      <c r="MDZ2" s="55"/>
      <c r="MEA2" s="55"/>
      <c r="MEB2" s="55"/>
      <c r="MEC2" s="55"/>
      <c r="MED2" s="55"/>
      <c r="MEE2" s="55"/>
      <c r="MEF2" s="55"/>
      <c r="MEG2" s="55"/>
      <c r="MEH2" s="55"/>
      <c r="MEI2" s="55"/>
      <c r="MEJ2" s="55"/>
      <c r="MEK2" s="55"/>
      <c r="MEL2" s="55"/>
      <c r="MEM2" s="55"/>
      <c r="MEN2" s="55"/>
      <c r="MEO2" s="55"/>
      <c r="MEP2" s="55"/>
      <c r="MEQ2" s="55"/>
      <c r="MER2" s="55"/>
      <c r="MES2" s="55"/>
      <c r="MET2" s="55"/>
      <c r="MEU2" s="55"/>
      <c r="MEV2" s="55"/>
      <c r="MEW2" s="55"/>
      <c r="MEX2" s="55"/>
      <c r="MEY2" s="55"/>
      <c r="MEZ2" s="55"/>
      <c r="MFA2" s="55"/>
      <c r="MFB2" s="55"/>
      <c r="MFC2" s="55"/>
      <c r="MFD2" s="55"/>
      <c r="MFE2" s="55"/>
      <c r="MFF2" s="55"/>
      <c r="MFG2" s="55"/>
      <c r="MFH2" s="55"/>
      <c r="MFI2" s="55"/>
      <c r="MFJ2" s="55"/>
      <c r="MFK2" s="55"/>
      <c r="MFL2" s="55"/>
      <c r="MFM2" s="55"/>
      <c r="MFN2" s="55"/>
      <c r="MFO2" s="55"/>
      <c r="MFP2" s="55"/>
      <c r="MFQ2" s="55"/>
      <c r="MFR2" s="55"/>
      <c r="MFS2" s="55"/>
      <c r="MFT2" s="55"/>
      <c r="MFU2" s="55"/>
      <c r="MFV2" s="55"/>
      <c r="MFW2" s="55"/>
      <c r="MFX2" s="55"/>
      <c r="MFY2" s="55"/>
      <c r="MFZ2" s="55"/>
      <c r="MGA2" s="55"/>
      <c r="MGB2" s="55"/>
      <c r="MGC2" s="55"/>
      <c r="MGD2" s="55"/>
      <c r="MGE2" s="55"/>
      <c r="MGF2" s="55"/>
      <c r="MGG2" s="55"/>
      <c r="MGH2" s="55"/>
      <c r="MGI2" s="55"/>
      <c r="MGJ2" s="55"/>
      <c r="MGK2" s="55"/>
      <c r="MGL2" s="55"/>
      <c r="MGM2" s="55"/>
      <c r="MGN2" s="55"/>
      <c r="MGO2" s="55"/>
      <c r="MGP2" s="55"/>
      <c r="MGQ2" s="55"/>
      <c r="MGR2" s="55"/>
      <c r="MGS2" s="55"/>
      <c r="MGT2" s="55"/>
      <c r="MGU2" s="55"/>
      <c r="MGV2" s="55"/>
      <c r="MGW2" s="55"/>
      <c r="MGX2" s="55"/>
      <c r="MGY2" s="55"/>
      <c r="MGZ2" s="55"/>
      <c r="MHA2" s="55"/>
      <c r="MHB2" s="55"/>
      <c r="MHC2" s="55"/>
      <c r="MHD2" s="55"/>
      <c r="MHE2" s="55"/>
      <c r="MHF2" s="55"/>
      <c r="MHG2" s="55"/>
      <c r="MHH2" s="55"/>
      <c r="MHI2" s="55"/>
      <c r="MHJ2" s="55"/>
      <c r="MHK2" s="55"/>
      <c r="MHL2" s="55"/>
      <c r="MHM2" s="55"/>
      <c r="MHN2" s="55"/>
      <c r="MHO2" s="55"/>
      <c r="MHP2" s="55"/>
      <c r="MHQ2" s="55"/>
      <c r="MHR2" s="55"/>
      <c r="MHS2" s="55"/>
      <c r="MHT2" s="55"/>
      <c r="MHU2" s="55"/>
      <c r="MHV2" s="55"/>
      <c r="MHW2" s="55"/>
      <c r="MHX2" s="55"/>
      <c r="MHY2" s="55"/>
      <c r="MHZ2" s="55"/>
      <c r="MIA2" s="55"/>
      <c r="MIB2" s="55"/>
      <c r="MIC2" s="55"/>
      <c r="MID2" s="55"/>
      <c r="MIE2" s="55"/>
      <c r="MIF2" s="55"/>
      <c r="MIG2" s="55"/>
      <c r="MIH2" s="55"/>
      <c r="MII2" s="55"/>
      <c r="MIJ2" s="55"/>
      <c r="MIK2" s="55"/>
      <c r="MIL2" s="55"/>
      <c r="MIM2" s="55"/>
      <c r="MIN2" s="55"/>
      <c r="MIO2" s="55"/>
      <c r="MIP2" s="55"/>
      <c r="MIQ2" s="55"/>
      <c r="MIR2" s="55"/>
      <c r="MIS2" s="55"/>
      <c r="MIT2" s="55"/>
      <c r="MIU2" s="55"/>
      <c r="MIV2" s="55"/>
      <c r="MIW2" s="55"/>
      <c r="MIX2" s="55"/>
      <c r="MIY2" s="55"/>
      <c r="MIZ2" s="55"/>
      <c r="MJA2" s="55"/>
      <c r="MJB2" s="55"/>
      <c r="MJC2" s="55"/>
      <c r="MJD2" s="55"/>
      <c r="MJE2" s="55"/>
      <c r="MJF2" s="55"/>
      <c r="MJG2" s="55"/>
      <c r="MJH2" s="55"/>
      <c r="MJI2" s="55"/>
      <c r="MJJ2" s="55"/>
      <c r="MJK2" s="55"/>
      <c r="MJL2" s="55"/>
      <c r="MJM2" s="55"/>
      <c r="MJN2" s="55"/>
      <c r="MJO2" s="55"/>
      <c r="MJP2" s="55"/>
      <c r="MJQ2" s="55"/>
      <c r="MJR2" s="55"/>
      <c r="MJS2" s="55"/>
      <c r="MJT2" s="55"/>
      <c r="MJU2" s="55"/>
      <c r="MJV2" s="55"/>
      <c r="MJW2" s="55"/>
      <c r="MJX2" s="55"/>
      <c r="MJY2" s="55"/>
      <c r="MJZ2" s="55"/>
      <c r="MKA2" s="55"/>
      <c r="MKB2" s="55"/>
      <c r="MKC2" s="55"/>
      <c r="MKD2" s="55"/>
      <c r="MKE2" s="55"/>
      <c r="MKF2" s="55"/>
      <c r="MKG2" s="55"/>
      <c r="MKH2" s="55"/>
      <c r="MKI2" s="55"/>
      <c r="MKJ2" s="55"/>
      <c r="MKK2" s="55"/>
      <c r="MKL2" s="55"/>
      <c r="MKM2" s="55"/>
      <c r="MKN2" s="55"/>
      <c r="MKO2" s="55"/>
      <c r="MKP2" s="55"/>
      <c r="MKQ2" s="55"/>
      <c r="MKR2" s="55"/>
      <c r="MKS2" s="55"/>
      <c r="MKT2" s="55"/>
      <c r="MKU2" s="55"/>
      <c r="MKV2" s="55"/>
      <c r="MKW2" s="55"/>
      <c r="MKX2" s="55"/>
      <c r="MKY2" s="55"/>
      <c r="MKZ2" s="55"/>
      <c r="MLA2" s="55"/>
      <c r="MLB2" s="55"/>
      <c r="MLC2" s="55"/>
      <c r="MLD2" s="55"/>
      <c r="MLE2" s="55"/>
      <c r="MLF2" s="55"/>
      <c r="MLG2" s="55"/>
      <c r="MLH2" s="55"/>
      <c r="MLI2" s="55"/>
      <c r="MLJ2" s="55"/>
      <c r="MLK2" s="55"/>
      <c r="MLL2" s="55"/>
      <c r="MLM2" s="55"/>
      <c r="MLN2" s="55"/>
      <c r="MLO2" s="55"/>
      <c r="MLP2" s="55"/>
      <c r="MLQ2" s="55"/>
      <c r="MLR2" s="55"/>
      <c r="MLS2" s="55"/>
      <c r="MLT2" s="55"/>
      <c r="MLU2" s="55"/>
      <c r="MLV2" s="55"/>
      <c r="MLW2" s="55"/>
      <c r="MLX2" s="55"/>
      <c r="MLY2" s="55"/>
      <c r="MLZ2" s="55"/>
      <c r="MMA2" s="55"/>
      <c r="MMB2" s="55"/>
      <c r="MMC2" s="55"/>
      <c r="MMD2" s="55"/>
      <c r="MME2" s="55"/>
      <c r="MMF2" s="55"/>
      <c r="MMG2" s="55"/>
      <c r="MMH2" s="55"/>
      <c r="MMI2" s="55"/>
      <c r="MMJ2" s="55"/>
      <c r="MMK2" s="55"/>
      <c r="MML2" s="55"/>
      <c r="MMM2" s="55"/>
      <c r="MMN2" s="55"/>
      <c r="MMO2" s="55"/>
      <c r="MMP2" s="55"/>
      <c r="MMQ2" s="55"/>
      <c r="MMR2" s="55"/>
      <c r="MMS2" s="55"/>
      <c r="MMT2" s="55"/>
      <c r="MMU2" s="55"/>
      <c r="MMV2" s="55"/>
      <c r="MMW2" s="55"/>
      <c r="MMX2" s="55"/>
      <c r="MMY2" s="55"/>
      <c r="MMZ2" s="55"/>
      <c r="MNA2" s="55"/>
      <c r="MNB2" s="55"/>
      <c r="MNC2" s="55"/>
      <c r="MND2" s="55"/>
      <c r="MNE2" s="55"/>
      <c r="MNF2" s="55"/>
      <c r="MNG2" s="55"/>
      <c r="MNH2" s="55"/>
      <c r="MNI2" s="55"/>
      <c r="MNJ2" s="55"/>
      <c r="MNK2" s="55"/>
      <c r="MNL2" s="55"/>
      <c r="MNM2" s="55"/>
      <c r="MNN2" s="55"/>
      <c r="MNO2" s="55"/>
      <c r="MNP2" s="55"/>
      <c r="MNQ2" s="55"/>
      <c r="MNR2" s="55"/>
      <c r="MNS2" s="55"/>
      <c r="MNT2" s="55"/>
      <c r="MNU2" s="55"/>
      <c r="MNV2" s="55"/>
      <c r="MNW2" s="55"/>
      <c r="MNX2" s="55"/>
      <c r="MNY2" s="55"/>
      <c r="MNZ2" s="55"/>
      <c r="MOA2" s="55"/>
      <c r="MOB2" s="55"/>
      <c r="MOC2" s="55"/>
      <c r="MOD2" s="55"/>
      <c r="MOE2" s="55"/>
      <c r="MOF2" s="55"/>
      <c r="MOG2" s="55"/>
      <c r="MOH2" s="55"/>
      <c r="MOI2" s="55"/>
      <c r="MOJ2" s="55"/>
      <c r="MOK2" s="55"/>
      <c r="MOL2" s="55"/>
      <c r="MOM2" s="55"/>
      <c r="MON2" s="55"/>
      <c r="MOO2" s="55"/>
      <c r="MOP2" s="55"/>
      <c r="MOQ2" s="55"/>
      <c r="MOR2" s="55"/>
      <c r="MOS2" s="55"/>
      <c r="MOT2" s="55"/>
      <c r="MOU2" s="55"/>
      <c r="MOV2" s="55"/>
      <c r="MOW2" s="55"/>
      <c r="MOX2" s="55"/>
      <c r="MOY2" s="55"/>
      <c r="MOZ2" s="55"/>
      <c r="MPA2" s="55"/>
      <c r="MPB2" s="55"/>
      <c r="MPC2" s="55"/>
      <c r="MPD2" s="55"/>
      <c r="MPE2" s="55"/>
      <c r="MPF2" s="55"/>
      <c r="MPG2" s="55"/>
      <c r="MPH2" s="55"/>
      <c r="MPI2" s="55"/>
      <c r="MPJ2" s="55"/>
      <c r="MPK2" s="55"/>
      <c r="MPL2" s="55"/>
      <c r="MPM2" s="55"/>
      <c r="MPN2" s="55"/>
      <c r="MPO2" s="55"/>
      <c r="MPP2" s="55"/>
      <c r="MPQ2" s="55"/>
      <c r="MPR2" s="55"/>
      <c r="MPS2" s="55"/>
      <c r="MPT2" s="55"/>
      <c r="MPU2" s="55"/>
      <c r="MPV2" s="55"/>
      <c r="MPW2" s="55"/>
      <c r="MPX2" s="55"/>
      <c r="MPY2" s="55"/>
      <c r="MPZ2" s="55"/>
      <c r="MQA2" s="55"/>
      <c r="MQB2" s="55"/>
      <c r="MQC2" s="55"/>
      <c r="MQD2" s="55"/>
      <c r="MQE2" s="55"/>
      <c r="MQF2" s="55"/>
      <c r="MQG2" s="55"/>
      <c r="MQH2" s="55"/>
      <c r="MQI2" s="55"/>
      <c r="MQJ2" s="55"/>
      <c r="MQK2" s="55"/>
      <c r="MQL2" s="55"/>
      <c r="MQM2" s="55"/>
      <c r="MQN2" s="55"/>
      <c r="MQO2" s="55"/>
      <c r="MQP2" s="55"/>
      <c r="MQQ2" s="55"/>
      <c r="MQR2" s="55"/>
      <c r="MQS2" s="55"/>
      <c r="MQT2" s="55"/>
      <c r="MQU2" s="55"/>
      <c r="MQV2" s="55"/>
      <c r="MQW2" s="55"/>
      <c r="MQX2" s="55"/>
      <c r="MQY2" s="55"/>
      <c r="MQZ2" s="55"/>
      <c r="MRA2" s="55"/>
      <c r="MRB2" s="55"/>
      <c r="MRC2" s="55"/>
      <c r="MRD2" s="55"/>
      <c r="MRE2" s="55"/>
      <c r="MRF2" s="55"/>
      <c r="MRG2" s="55"/>
      <c r="MRH2" s="55"/>
      <c r="MRI2" s="55"/>
      <c r="MRJ2" s="55"/>
      <c r="MRK2" s="55"/>
      <c r="MRL2" s="55"/>
      <c r="MRM2" s="55"/>
      <c r="MRN2" s="55"/>
      <c r="MRO2" s="55"/>
      <c r="MRP2" s="55"/>
      <c r="MRQ2" s="55"/>
      <c r="MRR2" s="55"/>
      <c r="MRS2" s="55"/>
      <c r="MRT2" s="55"/>
      <c r="MRU2" s="55"/>
      <c r="MRV2" s="55"/>
      <c r="MRW2" s="55"/>
      <c r="MRX2" s="55"/>
      <c r="MRY2" s="55"/>
      <c r="MRZ2" s="55"/>
      <c r="MSA2" s="55"/>
      <c r="MSB2" s="55"/>
      <c r="MSC2" s="55"/>
      <c r="MSD2" s="55"/>
      <c r="MSE2" s="55"/>
      <c r="MSF2" s="55"/>
      <c r="MSG2" s="55"/>
      <c r="MSH2" s="55"/>
      <c r="MSI2" s="55"/>
      <c r="MSJ2" s="55"/>
      <c r="MSK2" s="55"/>
      <c r="MSL2" s="55"/>
      <c r="MSM2" s="55"/>
      <c r="MSN2" s="55"/>
      <c r="MSO2" s="55"/>
      <c r="MSP2" s="55"/>
      <c r="MSQ2" s="55"/>
      <c r="MSR2" s="55"/>
      <c r="MSS2" s="55"/>
      <c r="MST2" s="55"/>
      <c r="MSU2" s="55"/>
      <c r="MSV2" s="55"/>
      <c r="MSW2" s="55"/>
      <c r="MSX2" s="55"/>
      <c r="MSY2" s="55"/>
      <c r="MSZ2" s="55"/>
      <c r="MTA2" s="55"/>
      <c r="MTB2" s="55"/>
      <c r="MTC2" s="55"/>
      <c r="MTD2" s="55"/>
      <c r="MTE2" s="55"/>
      <c r="MTF2" s="55"/>
      <c r="MTG2" s="55"/>
      <c r="MTH2" s="55"/>
      <c r="MTI2" s="55"/>
      <c r="MTJ2" s="55"/>
      <c r="MTK2" s="55"/>
      <c r="MTL2" s="55"/>
      <c r="MTM2" s="55"/>
      <c r="MTN2" s="55"/>
      <c r="MTO2" s="55"/>
      <c r="MTP2" s="55"/>
      <c r="MTQ2" s="55"/>
      <c r="MTR2" s="55"/>
      <c r="MTS2" s="55"/>
      <c r="MTT2" s="55"/>
      <c r="MTU2" s="55"/>
      <c r="MTV2" s="55"/>
      <c r="MTW2" s="55"/>
      <c r="MTX2" s="55"/>
      <c r="MTY2" s="55"/>
      <c r="MTZ2" s="55"/>
      <c r="MUA2" s="55"/>
      <c r="MUB2" s="55"/>
      <c r="MUC2" s="55"/>
      <c r="MUD2" s="55"/>
      <c r="MUE2" s="55"/>
      <c r="MUF2" s="55"/>
      <c r="MUG2" s="55"/>
      <c r="MUH2" s="55"/>
      <c r="MUI2" s="55"/>
      <c r="MUJ2" s="55"/>
      <c r="MUK2" s="55"/>
      <c r="MUL2" s="55"/>
      <c r="MUM2" s="55"/>
      <c r="MUN2" s="55"/>
      <c r="MUO2" s="55"/>
      <c r="MUP2" s="55"/>
      <c r="MUQ2" s="55"/>
      <c r="MUR2" s="55"/>
      <c r="MUS2" s="55"/>
      <c r="MUT2" s="55"/>
      <c r="MUU2" s="55"/>
      <c r="MUV2" s="55"/>
      <c r="MUW2" s="55"/>
      <c r="MUX2" s="55"/>
      <c r="MUY2" s="55"/>
      <c r="MUZ2" s="55"/>
      <c r="MVA2" s="55"/>
      <c r="MVB2" s="55"/>
      <c r="MVC2" s="55"/>
      <c r="MVD2" s="55"/>
      <c r="MVE2" s="55"/>
      <c r="MVF2" s="55"/>
      <c r="MVG2" s="55"/>
      <c r="MVH2" s="55"/>
      <c r="MVI2" s="55"/>
      <c r="MVJ2" s="55"/>
      <c r="MVK2" s="55"/>
      <c r="MVL2" s="55"/>
      <c r="MVM2" s="55"/>
      <c r="MVN2" s="55"/>
      <c r="MVO2" s="55"/>
      <c r="MVP2" s="55"/>
      <c r="MVQ2" s="55"/>
      <c r="MVR2" s="55"/>
      <c r="MVS2" s="55"/>
      <c r="MVT2" s="55"/>
      <c r="MVU2" s="55"/>
      <c r="MVV2" s="55"/>
      <c r="MVW2" s="55"/>
      <c r="MVX2" s="55"/>
      <c r="MVY2" s="55"/>
      <c r="MVZ2" s="55"/>
      <c r="MWA2" s="55"/>
      <c r="MWB2" s="55"/>
      <c r="MWC2" s="55"/>
      <c r="MWD2" s="55"/>
      <c r="MWE2" s="55"/>
      <c r="MWF2" s="55"/>
      <c r="MWG2" s="55"/>
      <c r="MWH2" s="55"/>
      <c r="MWI2" s="55"/>
      <c r="MWJ2" s="55"/>
      <c r="MWK2" s="55"/>
      <c r="MWL2" s="55"/>
      <c r="MWM2" s="55"/>
      <c r="MWN2" s="55"/>
      <c r="MWO2" s="55"/>
      <c r="MWP2" s="55"/>
      <c r="MWQ2" s="55"/>
      <c r="MWR2" s="55"/>
      <c r="MWS2" s="55"/>
      <c r="MWT2" s="55"/>
      <c r="MWU2" s="55"/>
      <c r="MWV2" s="55"/>
      <c r="MWW2" s="55"/>
      <c r="MWX2" s="55"/>
      <c r="MWY2" s="55"/>
      <c r="MWZ2" s="55"/>
      <c r="MXA2" s="55"/>
      <c r="MXB2" s="55"/>
      <c r="MXC2" s="55"/>
      <c r="MXD2" s="55"/>
      <c r="MXE2" s="55"/>
      <c r="MXF2" s="55"/>
      <c r="MXG2" s="55"/>
      <c r="MXH2" s="55"/>
      <c r="MXI2" s="55"/>
      <c r="MXJ2" s="55"/>
      <c r="MXK2" s="55"/>
      <c r="MXL2" s="55"/>
      <c r="MXM2" s="55"/>
      <c r="MXN2" s="55"/>
      <c r="MXO2" s="55"/>
      <c r="MXP2" s="55"/>
      <c r="MXQ2" s="55"/>
      <c r="MXR2" s="55"/>
      <c r="MXS2" s="55"/>
      <c r="MXT2" s="55"/>
      <c r="MXU2" s="55"/>
      <c r="MXV2" s="55"/>
      <c r="MXW2" s="55"/>
      <c r="MXX2" s="55"/>
      <c r="MXY2" s="55"/>
      <c r="MXZ2" s="55"/>
      <c r="MYA2" s="55"/>
      <c r="MYB2" s="55"/>
      <c r="MYC2" s="55"/>
      <c r="MYD2" s="55"/>
      <c r="MYE2" s="55"/>
      <c r="MYF2" s="55"/>
      <c r="MYG2" s="55"/>
      <c r="MYH2" s="55"/>
      <c r="MYI2" s="55"/>
      <c r="MYJ2" s="55"/>
      <c r="MYK2" s="55"/>
      <c r="MYL2" s="55"/>
      <c r="MYM2" s="55"/>
      <c r="MYN2" s="55"/>
      <c r="MYO2" s="55"/>
      <c r="MYP2" s="55"/>
      <c r="MYQ2" s="55"/>
      <c r="MYR2" s="55"/>
      <c r="MYS2" s="55"/>
      <c r="MYT2" s="55"/>
      <c r="MYU2" s="55"/>
      <c r="MYV2" s="55"/>
      <c r="MYW2" s="55"/>
      <c r="MYX2" s="55"/>
      <c r="MYY2" s="55"/>
      <c r="MYZ2" s="55"/>
      <c r="MZA2" s="55"/>
      <c r="MZB2" s="55"/>
      <c r="MZC2" s="55"/>
      <c r="MZD2" s="55"/>
      <c r="MZE2" s="55"/>
      <c r="MZF2" s="55"/>
      <c r="MZG2" s="55"/>
      <c r="MZH2" s="55"/>
      <c r="MZI2" s="55"/>
      <c r="MZJ2" s="55"/>
      <c r="MZK2" s="55"/>
      <c r="MZL2" s="55"/>
      <c r="MZM2" s="55"/>
      <c r="MZN2" s="55"/>
      <c r="MZO2" s="55"/>
      <c r="MZP2" s="55"/>
      <c r="MZQ2" s="55"/>
      <c r="MZR2" s="55"/>
      <c r="MZS2" s="55"/>
      <c r="MZT2" s="55"/>
      <c r="MZU2" s="55"/>
      <c r="MZV2" s="55"/>
      <c r="MZW2" s="55"/>
      <c r="MZX2" s="55"/>
      <c r="MZY2" s="55"/>
      <c r="MZZ2" s="55"/>
      <c r="NAA2" s="55"/>
      <c r="NAB2" s="55"/>
      <c r="NAC2" s="55"/>
      <c r="NAD2" s="55"/>
      <c r="NAE2" s="55"/>
      <c r="NAF2" s="55"/>
      <c r="NAG2" s="55"/>
      <c r="NAH2" s="55"/>
      <c r="NAI2" s="55"/>
      <c r="NAJ2" s="55"/>
      <c r="NAK2" s="55"/>
      <c r="NAL2" s="55"/>
      <c r="NAM2" s="55"/>
      <c r="NAN2" s="55"/>
      <c r="NAO2" s="55"/>
      <c r="NAP2" s="55"/>
      <c r="NAQ2" s="55"/>
      <c r="NAR2" s="55"/>
      <c r="NAS2" s="55"/>
      <c r="NAT2" s="55"/>
      <c r="NAU2" s="55"/>
      <c r="NAV2" s="55"/>
      <c r="NAW2" s="55"/>
      <c r="NAX2" s="55"/>
      <c r="NAY2" s="55"/>
      <c r="NAZ2" s="55"/>
      <c r="NBA2" s="55"/>
      <c r="NBB2" s="55"/>
      <c r="NBC2" s="55"/>
      <c r="NBD2" s="55"/>
      <c r="NBE2" s="55"/>
      <c r="NBF2" s="55"/>
      <c r="NBG2" s="55"/>
      <c r="NBH2" s="55"/>
      <c r="NBI2" s="55"/>
      <c r="NBJ2" s="55"/>
      <c r="NBK2" s="55"/>
      <c r="NBL2" s="55"/>
      <c r="NBM2" s="55"/>
      <c r="NBN2" s="55"/>
      <c r="NBO2" s="55"/>
      <c r="NBP2" s="55"/>
      <c r="NBQ2" s="55"/>
      <c r="NBR2" s="55"/>
      <c r="NBS2" s="55"/>
      <c r="NBT2" s="55"/>
      <c r="NBU2" s="55"/>
      <c r="NBV2" s="55"/>
      <c r="NBW2" s="55"/>
      <c r="NBX2" s="55"/>
      <c r="NBY2" s="55"/>
      <c r="NBZ2" s="55"/>
      <c r="NCA2" s="55"/>
      <c r="NCB2" s="55"/>
      <c r="NCC2" s="55"/>
      <c r="NCD2" s="55"/>
      <c r="NCE2" s="55"/>
      <c r="NCF2" s="55"/>
      <c r="NCG2" s="55"/>
      <c r="NCH2" s="55"/>
      <c r="NCI2" s="55"/>
      <c r="NCJ2" s="55"/>
      <c r="NCK2" s="55"/>
      <c r="NCL2" s="55"/>
      <c r="NCM2" s="55"/>
      <c r="NCN2" s="55"/>
      <c r="NCO2" s="55"/>
      <c r="NCP2" s="55"/>
      <c r="NCQ2" s="55"/>
      <c r="NCR2" s="55"/>
      <c r="NCS2" s="55"/>
      <c r="NCT2" s="55"/>
      <c r="NCU2" s="55"/>
      <c r="NCV2" s="55"/>
      <c r="NCW2" s="55"/>
      <c r="NCX2" s="55"/>
      <c r="NCY2" s="55"/>
      <c r="NCZ2" s="55"/>
      <c r="NDA2" s="55"/>
      <c r="NDB2" s="55"/>
      <c r="NDC2" s="55"/>
      <c r="NDD2" s="55"/>
      <c r="NDE2" s="55"/>
      <c r="NDF2" s="55"/>
      <c r="NDG2" s="55"/>
      <c r="NDH2" s="55"/>
      <c r="NDI2" s="55"/>
      <c r="NDJ2" s="55"/>
      <c r="NDK2" s="55"/>
      <c r="NDL2" s="55"/>
      <c r="NDM2" s="55"/>
      <c r="NDN2" s="55"/>
      <c r="NDO2" s="55"/>
      <c r="NDP2" s="55"/>
      <c r="NDQ2" s="55"/>
      <c r="NDR2" s="55"/>
      <c r="NDS2" s="55"/>
      <c r="NDT2" s="55"/>
      <c r="NDU2" s="55"/>
      <c r="NDV2" s="55"/>
      <c r="NDW2" s="55"/>
      <c r="NDX2" s="55"/>
      <c r="NDY2" s="55"/>
      <c r="NDZ2" s="55"/>
      <c r="NEA2" s="55"/>
      <c r="NEB2" s="55"/>
      <c r="NEC2" s="55"/>
      <c r="NED2" s="55"/>
      <c r="NEE2" s="55"/>
      <c r="NEF2" s="55"/>
      <c r="NEG2" s="55"/>
      <c r="NEH2" s="55"/>
      <c r="NEI2" s="55"/>
      <c r="NEJ2" s="55"/>
      <c r="NEK2" s="55"/>
      <c r="NEL2" s="55"/>
      <c r="NEM2" s="55"/>
      <c r="NEN2" s="55"/>
      <c r="NEO2" s="55"/>
      <c r="NEP2" s="55"/>
      <c r="NEQ2" s="55"/>
      <c r="NER2" s="55"/>
      <c r="NES2" s="55"/>
      <c r="NET2" s="55"/>
      <c r="NEU2" s="55"/>
      <c r="NEV2" s="55"/>
      <c r="NEW2" s="55"/>
      <c r="NEX2" s="55"/>
      <c r="NEY2" s="55"/>
      <c r="NEZ2" s="55"/>
      <c r="NFA2" s="55"/>
      <c r="NFB2" s="55"/>
      <c r="NFC2" s="55"/>
      <c r="NFD2" s="55"/>
      <c r="NFE2" s="55"/>
      <c r="NFF2" s="55"/>
      <c r="NFG2" s="55"/>
      <c r="NFH2" s="55"/>
      <c r="NFI2" s="55"/>
      <c r="NFJ2" s="55"/>
      <c r="NFK2" s="55"/>
      <c r="NFL2" s="55"/>
      <c r="NFM2" s="55"/>
      <c r="NFN2" s="55"/>
      <c r="NFO2" s="55"/>
      <c r="NFP2" s="55"/>
      <c r="NFQ2" s="55"/>
      <c r="NFR2" s="55"/>
      <c r="NFS2" s="55"/>
      <c r="NFT2" s="55"/>
      <c r="NFU2" s="55"/>
      <c r="NFV2" s="55"/>
      <c r="NFW2" s="55"/>
      <c r="NFX2" s="55"/>
      <c r="NFY2" s="55"/>
      <c r="NFZ2" s="55"/>
      <c r="NGA2" s="55"/>
      <c r="NGB2" s="55"/>
      <c r="NGC2" s="55"/>
      <c r="NGD2" s="55"/>
      <c r="NGE2" s="55"/>
      <c r="NGF2" s="55"/>
      <c r="NGG2" s="55"/>
      <c r="NGH2" s="55"/>
      <c r="NGI2" s="55"/>
      <c r="NGJ2" s="55"/>
      <c r="NGK2" s="55"/>
      <c r="NGL2" s="55"/>
      <c r="NGM2" s="55"/>
      <c r="NGN2" s="55"/>
      <c r="NGO2" s="55"/>
      <c r="NGP2" s="55"/>
      <c r="NGQ2" s="55"/>
      <c r="NGR2" s="55"/>
      <c r="NGS2" s="55"/>
      <c r="NGT2" s="55"/>
      <c r="NGU2" s="55"/>
      <c r="NGV2" s="55"/>
      <c r="NGW2" s="55"/>
      <c r="NGX2" s="55"/>
      <c r="NGY2" s="55"/>
      <c r="NGZ2" s="55"/>
      <c r="NHA2" s="55"/>
      <c r="NHB2" s="55"/>
      <c r="NHC2" s="55"/>
      <c r="NHD2" s="55"/>
      <c r="NHE2" s="55"/>
      <c r="NHF2" s="55"/>
      <c r="NHG2" s="55"/>
      <c r="NHH2" s="55"/>
      <c r="NHI2" s="55"/>
      <c r="NHJ2" s="55"/>
      <c r="NHK2" s="55"/>
      <c r="NHL2" s="55"/>
      <c r="NHM2" s="55"/>
      <c r="NHN2" s="55"/>
      <c r="NHO2" s="55"/>
      <c r="NHP2" s="55"/>
      <c r="NHQ2" s="55"/>
      <c r="NHR2" s="55"/>
      <c r="NHS2" s="55"/>
      <c r="NHT2" s="55"/>
      <c r="NHU2" s="55"/>
      <c r="NHV2" s="55"/>
      <c r="NHW2" s="55"/>
      <c r="NHX2" s="55"/>
      <c r="NHY2" s="55"/>
      <c r="NHZ2" s="55"/>
      <c r="NIA2" s="55"/>
      <c r="NIB2" s="55"/>
      <c r="NIC2" s="55"/>
      <c r="NID2" s="55"/>
      <c r="NIE2" s="55"/>
      <c r="NIF2" s="55"/>
      <c r="NIG2" s="55"/>
      <c r="NIH2" s="55"/>
      <c r="NII2" s="55"/>
      <c r="NIJ2" s="55"/>
      <c r="NIK2" s="55"/>
      <c r="NIL2" s="55"/>
      <c r="NIM2" s="55"/>
      <c r="NIN2" s="55"/>
      <c r="NIO2" s="55"/>
      <c r="NIP2" s="55"/>
      <c r="NIQ2" s="55"/>
      <c r="NIR2" s="55"/>
      <c r="NIS2" s="55"/>
      <c r="NIT2" s="55"/>
      <c r="NIU2" s="55"/>
      <c r="NIV2" s="55"/>
      <c r="NIW2" s="55"/>
      <c r="NIX2" s="55"/>
      <c r="NIY2" s="55"/>
      <c r="NIZ2" s="55"/>
      <c r="NJA2" s="55"/>
      <c r="NJB2" s="55"/>
      <c r="NJC2" s="55"/>
      <c r="NJD2" s="55"/>
      <c r="NJE2" s="55"/>
      <c r="NJF2" s="55"/>
      <c r="NJG2" s="55"/>
      <c r="NJH2" s="55"/>
      <c r="NJI2" s="55"/>
      <c r="NJJ2" s="55"/>
      <c r="NJK2" s="55"/>
      <c r="NJL2" s="55"/>
      <c r="NJM2" s="55"/>
      <c r="NJN2" s="55"/>
      <c r="NJO2" s="55"/>
      <c r="NJP2" s="55"/>
      <c r="NJQ2" s="55"/>
      <c r="NJR2" s="55"/>
      <c r="NJS2" s="55"/>
      <c r="NJT2" s="55"/>
      <c r="NJU2" s="55"/>
      <c r="NJV2" s="55"/>
      <c r="NJW2" s="55"/>
      <c r="NJX2" s="55"/>
      <c r="NJY2" s="55"/>
      <c r="NJZ2" s="55"/>
      <c r="NKA2" s="55"/>
      <c r="NKB2" s="55"/>
      <c r="NKC2" s="55"/>
      <c r="NKD2" s="55"/>
      <c r="NKE2" s="55"/>
      <c r="NKF2" s="55"/>
      <c r="NKG2" s="55"/>
      <c r="NKH2" s="55"/>
      <c r="NKI2" s="55"/>
      <c r="NKJ2" s="55"/>
      <c r="NKK2" s="55"/>
      <c r="NKL2" s="55"/>
      <c r="NKM2" s="55"/>
      <c r="NKN2" s="55"/>
      <c r="NKO2" s="55"/>
      <c r="NKP2" s="55"/>
      <c r="NKQ2" s="55"/>
      <c r="NKR2" s="55"/>
      <c r="NKS2" s="55"/>
      <c r="NKT2" s="55"/>
      <c r="NKU2" s="55"/>
      <c r="NKV2" s="55"/>
      <c r="NKW2" s="55"/>
      <c r="NKX2" s="55"/>
      <c r="NKY2" s="55"/>
      <c r="NKZ2" s="55"/>
      <c r="NLA2" s="55"/>
      <c r="NLB2" s="55"/>
      <c r="NLC2" s="55"/>
      <c r="NLD2" s="55"/>
      <c r="NLE2" s="55"/>
      <c r="NLF2" s="55"/>
      <c r="NLG2" s="55"/>
      <c r="NLH2" s="55"/>
      <c r="NLI2" s="55"/>
      <c r="NLJ2" s="55"/>
      <c r="NLK2" s="55"/>
      <c r="NLL2" s="55"/>
      <c r="NLM2" s="55"/>
      <c r="NLN2" s="55"/>
      <c r="NLO2" s="55"/>
      <c r="NLP2" s="55"/>
      <c r="NLQ2" s="55"/>
      <c r="NLR2" s="55"/>
      <c r="NLS2" s="55"/>
      <c r="NLT2" s="55"/>
      <c r="NLU2" s="55"/>
      <c r="NLV2" s="55"/>
      <c r="NLW2" s="55"/>
      <c r="NLX2" s="55"/>
      <c r="NLY2" s="55"/>
      <c r="NLZ2" s="55"/>
      <c r="NMA2" s="55"/>
      <c r="NMB2" s="55"/>
      <c r="NMC2" s="55"/>
      <c r="NMD2" s="55"/>
      <c r="NME2" s="55"/>
      <c r="NMF2" s="55"/>
      <c r="NMG2" s="55"/>
      <c r="NMH2" s="55"/>
      <c r="NMI2" s="55"/>
      <c r="NMJ2" s="55"/>
      <c r="NMK2" s="55"/>
      <c r="NML2" s="55"/>
      <c r="NMM2" s="55"/>
      <c r="NMN2" s="55"/>
      <c r="NMO2" s="55"/>
      <c r="NMP2" s="55"/>
      <c r="NMQ2" s="55"/>
      <c r="NMR2" s="55"/>
      <c r="NMS2" s="55"/>
      <c r="NMT2" s="55"/>
      <c r="NMU2" s="55"/>
      <c r="NMV2" s="55"/>
      <c r="NMW2" s="55"/>
      <c r="NMX2" s="55"/>
      <c r="NMY2" s="55"/>
      <c r="NMZ2" s="55"/>
      <c r="NNA2" s="55"/>
      <c r="NNB2" s="55"/>
      <c r="NNC2" s="55"/>
      <c r="NND2" s="55"/>
      <c r="NNE2" s="55"/>
      <c r="NNF2" s="55"/>
      <c r="NNG2" s="55"/>
      <c r="NNH2" s="55"/>
      <c r="NNI2" s="55"/>
      <c r="NNJ2" s="55"/>
      <c r="NNK2" s="55"/>
      <c r="NNL2" s="55"/>
      <c r="NNM2" s="55"/>
      <c r="NNN2" s="55"/>
      <c r="NNO2" s="55"/>
      <c r="NNP2" s="55"/>
      <c r="NNQ2" s="55"/>
      <c r="NNR2" s="55"/>
      <c r="NNS2" s="55"/>
      <c r="NNT2" s="55"/>
      <c r="NNU2" s="55"/>
      <c r="NNV2" s="55"/>
      <c r="NNW2" s="55"/>
      <c r="NNX2" s="55"/>
      <c r="NNY2" s="55"/>
      <c r="NNZ2" s="55"/>
      <c r="NOA2" s="55"/>
      <c r="NOB2" s="55"/>
      <c r="NOC2" s="55"/>
      <c r="NOD2" s="55"/>
      <c r="NOE2" s="55"/>
      <c r="NOF2" s="55"/>
      <c r="NOG2" s="55"/>
      <c r="NOH2" s="55"/>
      <c r="NOI2" s="55"/>
      <c r="NOJ2" s="55"/>
      <c r="NOK2" s="55"/>
      <c r="NOL2" s="55"/>
      <c r="NOM2" s="55"/>
      <c r="NON2" s="55"/>
      <c r="NOO2" s="55"/>
      <c r="NOP2" s="55"/>
      <c r="NOQ2" s="55"/>
      <c r="NOR2" s="55"/>
      <c r="NOS2" s="55"/>
      <c r="NOT2" s="55"/>
      <c r="NOU2" s="55"/>
      <c r="NOV2" s="55"/>
      <c r="NOW2" s="55"/>
      <c r="NOX2" s="55"/>
      <c r="NOY2" s="55"/>
      <c r="NOZ2" s="55"/>
      <c r="NPA2" s="55"/>
      <c r="NPB2" s="55"/>
      <c r="NPC2" s="55"/>
      <c r="NPD2" s="55"/>
      <c r="NPE2" s="55"/>
      <c r="NPF2" s="55"/>
      <c r="NPG2" s="55"/>
      <c r="NPH2" s="55"/>
      <c r="NPI2" s="55"/>
      <c r="NPJ2" s="55"/>
      <c r="NPK2" s="55"/>
      <c r="NPL2" s="55"/>
      <c r="NPM2" s="55"/>
      <c r="NPN2" s="55"/>
      <c r="NPO2" s="55"/>
      <c r="NPP2" s="55"/>
      <c r="NPQ2" s="55"/>
      <c r="NPR2" s="55"/>
      <c r="NPS2" s="55"/>
      <c r="NPT2" s="55"/>
      <c r="NPU2" s="55"/>
      <c r="NPV2" s="55"/>
      <c r="NPW2" s="55"/>
      <c r="NPX2" s="55"/>
      <c r="NPY2" s="55"/>
      <c r="NPZ2" s="55"/>
      <c r="NQA2" s="55"/>
      <c r="NQB2" s="55"/>
      <c r="NQC2" s="55"/>
      <c r="NQD2" s="55"/>
      <c r="NQE2" s="55"/>
      <c r="NQF2" s="55"/>
      <c r="NQG2" s="55"/>
      <c r="NQH2" s="55"/>
      <c r="NQI2" s="55"/>
      <c r="NQJ2" s="55"/>
      <c r="NQK2" s="55"/>
      <c r="NQL2" s="55"/>
      <c r="NQM2" s="55"/>
      <c r="NQN2" s="55"/>
      <c r="NQO2" s="55"/>
      <c r="NQP2" s="55"/>
      <c r="NQQ2" s="55"/>
      <c r="NQR2" s="55"/>
      <c r="NQS2" s="55"/>
      <c r="NQT2" s="55"/>
      <c r="NQU2" s="55"/>
      <c r="NQV2" s="55"/>
      <c r="NQW2" s="55"/>
      <c r="NQX2" s="55"/>
      <c r="NQY2" s="55"/>
      <c r="NQZ2" s="55"/>
      <c r="NRA2" s="55"/>
      <c r="NRB2" s="55"/>
      <c r="NRC2" s="55"/>
      <c r="NRD2" s="55"/>
      <c r="NRE2" s="55"/>
      <c r="NRF2" s="55"/>
      <c r="NRG2" s="55"/>
      <c r="NRH2" s="55"/>
      <c r="NRI2" s="55"/>
      <c r="NRJ2" s="55"/>
      <c r="NRK2" s="55"/>
      <c r="NRL2" s="55"/>
      <c r="NRM2" s="55"/>
      <c r="NRN2" s="55"/>
      <c r="NRO2" s="55"/>
      <c r="NRP2" s="55"/>
      <c r="NRQ2" s="55"/>
      <c r="NRR2" s="55"/>
      <c r="NRS2" s="55"/>
      <c r="NRT2" s="55"/>
      <c r="NRU2" s="55"/>
      <c r="NRV2" s="55"/>
      <c r="NRW2" s="55"/>
      <c r="NRX2" s="55"/>
      <c r="NRY2" s="55"/>
      <c r="NRZ2" s="55"/>
      <c r="NSA2" s="55"/>
      <c r="NSB2" s="55"/>
      <c r="NSC2" s="55"/>
      <c r="NSD2" s="55"/>
      <c r="NSE2" s="55"/>
      <c r="NSF2" s="55"/>
      <c r="NSG2" s="55"/>
      <c r="NSH2" s="55"/>
      <c r="NSI2" s="55"/>
      <c r="NSJ2" s="55"/>
      <c r="NSK2" s="55"/>
      <c r="NSL2" s="55"/>
      <c r="NSM2" s="55"/>
      <c r="NSN2" s="55"/>
      <c r="NSO2" s="55"/>
      <c r="NSP2" s="55"/>
      <c r="NSQ2" s="55"/>
      <c r="NSR2" s="55"/>
      <c r="NSS2" s="55"/>
      <c r="NST2" s="55"/>
      <c r="NSU2" s="55"/>
      <c r="NSV2" s="55"/>
      <c r="NSW2" s="55"/>
      <c r="NSX2" s="55"/>
      <c r="NSY2" s="55"/>
      <c r="NSZ2" s="55"/>
      <c r="NTA2" s="55"/>
      <c r="NTB2" s="55"/>
      <c r="NTC2" s="55"/>
      <c r="NTD2" s="55"/>
      <c r="NTE2" s="55"/>
      <c r="NTF2" s="55"/>
      <c r="NTG2" s="55"/>
      <c r="NTH2" s="55"/>
      <c r="NTI2" s="55"/>
      <c r="NTJ2" s="55"/>
      <c r="NTK2" s="55"/>
      <c r="NTL2" s="55"/>
      <c r="NTM2" s="55"/>
      <c r="NTN2" s="55"/>
      <c r="NTO2" s="55"/>
      <c r="NTP2" s="55"/>
      <c r="NTQ2" s="55"/>
      <c r="NTR2" s="55"/>
      <c r="NTS2" s="55"/>
      <c r="NTT2" s="55"/>
      <c r="NTU2" s="55"/>
      <c r="NTV2" s="55"/>
      <c r="NTW2" s="55"/>
      <c r="NTX2" s="55"/>
      <c r="NTY2" s="55"/>
      <c r="NTZ2" s="55"/>
      <c r="NUA2" s="55"/>
      <c r="NUB2" s="55"/>
      <c r="NUC2" s="55"/>
      <c r="NUD2" s="55"/>
      <c r="NUE2" s="55"/>
      <c r="NUF2" s="55"/>
      <c r="NUG2" s="55"/>
      <c r="NUH2" s="55"/>
      <c r="NUI2" s="55"/>
      <c r="NUJ2" s="55"/>
      <c r="NUK2" s="55"/>
      <c r="NUL2" s="55"/>
      <c r="NUM2" s="55"/>
      <c r="NUN2" s="55"/>
      <c r="NUO2" s="55"/>
      <c r="NUP2" s="55"/>
      <c r="NUQ2" s="55"/>
      <c r="NUR2" s="55"/>
      <c r="NUS2" s="55"/>
      <c r="NUT2" s="55"/>
      <c r="NUU2" s="55"/>
      <c r="NUV2" s="55"/>
      <c r="NUW2" s="55"/>
      <c r="NUX2" s="55"/>
      <c r="NUY2" s="55"/>
      <c r="NUZ2" s="55"/>
      <c r="NVA2" s="55"/>
      <c r="NVB2" s="55"/>
      <c r="NVC2" s="55"/>
      <c r="NVD2" s="55"/>
      <c r="NVE2" s="55"/>
      <c r="NVF2" s="55"/>
      <c r="NVG2" s="55"/>
      <c r="NVH2" s="55"/>
      <c r="NVI2" s="55"/>
      <c r="NVJ2" s="55"/>
      <c r="NVK2" s="55"/>
      <c r="NVL2" s="55"/>
      <c r="NVM2" s="55"/>
      <c r="NVN2" s="55"/>
      <c r="NVO2" s="55"/>
      <c r="NVP2" s="55"/>
      <c r="NVQ2" s="55"/>
      <c r="NVR2" s="55"/>
      <c r="NVS2" s="55"/>
      <c r="NVT2" s="55"/>
      <c r="NVU2" s="55"/>
      <c r="NVV2" s="55"/>
      <c r="NVW2" s="55"/>
      <c r="NVX2" s="55"/>
      <c r="NVY2" s="55"/>
      <c r="NVZ2" s="55"/>
      <c r="NWA2" s="55"/>
      <c r="NWB2" s="55"/>
      <c r="NWC2" s="55"/>
      <c r="NWD2" s="55"/>
      <c r="NWE2" s="55"/>
      <c r="NWF2" s="55"/>
      <c r="NWG2" s="55"/>
      <c r="NWH2" s="55"/>
      <c r="NWI2" s="55"/>
      <c r="NWJ2" s="55"/>
      <c r="NWK2" s="55"/>
      <c r="NWL2" s="55"/>
      <c r="NWM2" s="55"/>
      <c r="NWN2" s="55"/>
      <c r="NWO2" s="55"/>
      <c r="NWP2" s="55"/>
      <c r="NWQ2" s="55"/>
      <c r="NWR2" s="55"/>
      <c r="NWS2" s="55"/>
      <c r="NWT2" s="55"/>
      <c r="NWU2" s="55"/>
      <c r="NWV2" s="55"/>
      <c r="NWW2" s="55"/>
      <c r="NWX2" s="55"/>
      <c r="NWY2" s="55"/>
      <c r="NWZ2" s="55"/>
      <c r="NXA2" s="55"/>
      <c r="NXB2" s="55"/>
      <c r="NXC2" s="55"/>
      <c r="NXD2" s="55"/>
      <c r="NXE2" s="55"/>
      <c r="NXF2" s="55"/>
      <c r="NXG2" s="55"/>
      <c r="NXH2" s="55"/>
      <c r="NXI2" s="55"/>
      <c r="NXJ2" s="55"/>
      <c r="NXK2" s="55"/>
      <c r="NXL2" s="55"/>
      <c r="NXM2" s="55"/>
      <c r="NXN2" s="55"/>
      <c r="NXO2" s="55"/>
      <c r="NXP2" s="55"/>
      <c r="NXQ2" s="55"/>
      <c r="NXR2" s="55"/>
      <c r="NXS2" s="55"/>
      <c r="NXT2" s="55"/>
      <c r="NXU2" s="55"/>
      <c r="NXV2" s="55"/>
      <c r="NXW2" s="55"/>
      <c r="NXX2" s="55"/>
      <c r="NXY2" s="55"/>
      <c r="NXZ2" s="55"/>
      <c r="NYA2" s="55"/>
      <c r="NYB2" s="55"/>
      <c r="NYC2" s="55"/>
      <c r="NYD2" s="55"/>
      <c r="NYE2" s="55"/>
      <c r="NYF2" s="55"/>
      <c r="NYG2" s="55"/>
      <c r="NYH2" s="55"/>
      <c r="NYI2" s="55"/>
      <c r="NYJ2" s="55"/>
      <c r="NYK2" s="55"/>
      <c r="NYL2" s="55"/>
      <c r="NYM2" s="55"/>
      <c r="NYN2" s="55"/>
      <c r="NYO2" s="55"/>
      <c r="NYP2" s="55"/>
      <c r="NYQ2" s="55"/>
      <c r="NYR2" s="55"/>
      <c r="NYS2" s="55"/>
      <c r="NYT2" s="55"/>
      <c r="NYU2" s="55"/>
      <c r="NYV2" s="55"/>
      <c r="NYW2" s="55"/>
      <c r="NYX2" s="55"/>
      <c r="NYY2" s="55"/>
      <c r="NYZ2" s="55"/>
      <c r="NZA2" s="55"/>
      <c r="NZB2" s="55"/>
      <c r="NZC2" s="55"/>
      <c r="NZD2" s="55"/>
      <c r="NZE2" s="55"/>
      <c r="NZF2" s="55"/>
      <c r="NZG2" s="55"/>
      <c r="NZH2" s="55"/>
      <c r="NZI2" s="55"/>
      <c r="NZJ2" s="55"/>
      <c r="NZK2" s="55"/>
      <c r="NZL2" s="55"/>
      <c r="NZM2" s="55"/>
      <c r="NZN2" s="55"/>
      <c r="NZO2" s="55"/>
      <c r="NZP2" s="55"/>
      <c r="NZQ2" s="55"/>
      <c r="NZR2" s="55"/>
      <c r="NZS2" s="55"/>
      <c r="NZT2" s="55"/>
      <c r="NZU2" s="55"/>
      <c r="NZV2" s="55"/>
      <c r="NZW2" s="55"/>
      <c r="NZX2" s="55"/>
      <c r="NZY2" s="55"/>
      <c r="NZZ2" s="55"/>
      <c r="OAA2" s="55"/>
      <c r="OAB2" s="55"/>
      <c r="OAC2" s="55"/>
      <c r="OAD2" s="55"/>
      <c r="OAE2" s="55"/>
      <c r="OAF2" s="55"/>
      <c r="OAG2" s="55"/>
      <c r="OAH2" s="55"/>
      <c r="OAI2" s="55"/>
      <c r="OAJ2" s="55"/>
      <c r="OAK2" s="55"/>
      <c r="OAL2" s="55"/>
      <c r="OAM2" s="55"/>
      <c r="OAN2" s="55"/>
      <c r="OAO2" s="55"/>
      <c r="OAP2" s="55"/>
      <c r="OAQ2" s="55"/>
      <c r="OAR2" s="55"/>
      <c r="OAS2" s="55"/>
      <c r="OAT2" s="55"/>
      <c r="OAU2" s="55"/>
      <c r="OAV2" s="55"/>
      <c r="OAW2" s="55"/>
      <c r="OAX2" s="55"/>
      <c r="OAY2" s="55"/>
      <c r="OAZ2" s="55"/>
      <c r="OBA2" s="55"/>
      <c r="OBB2" s="55"/>
      <c r="OBC2" s="55"/>
      <c r="OBD2" s="55"/>
      <c r="OBE2" s="55"/>
      <c r="OBF2" s="55"/>
      <c r="OBG2" s="55"/>
      <c r="OBH2" s="55"/>
      <c r="OBI2" s="55"/>
      <c r="OBJ2" s="55"/>
      <c r="OBK2" s="55"/>
      <c r="OBL2" s="55"/>
      <c r="OBM2" s="55"/>
      <c r="OBN2" s="55"/>
      <c r="OBO2" s="55"/>
      <c r="OBP2" s="55"/>
      <c r="OBQ2" s="55"/>
      <c r="OBR2" s="55"/>
      <c r="OBS2" s="55"/>
      <c r="OBT2" s="55"/>
      <c r="OBU2" s="55"/>
      <c r="OBV2" s="55"/>
      <c r="OBW2" s="55"/>
      <c r="OBX2" s="55"/>
      <c r="OBY2" s="55"/>
      <c r="OBZ2" s="55"/>
      <c r="OCA2" s="55"/>
      <c r="OCB2" s="55"/>
      <c r="OCC2" s="55"/>
      <c r="OCD2" s="55"/>
      <c r="OCE2" s="55"/>
      <c r="OCF2" s="55"/>
      <c r="OCG2" s="55"/>
      <c r="OCH2" s="55"/>
      <c r="OCI2" s="55"/>
      <c r="OCJ2" s="55"/>
      <c r="OCK2" s="55"/>
      <c r="OCL2" s="55"/>
      <c r="OCM2" s="55"/>
      <c r="OCN2" s="55"/>
      <c r="OCO2" s="55"/>
      <c r="OCP2" s="55"/>
      <c r="OCQ2" s="55"/>
      <c r="OCR2" s="55"/>
      <c r="OCS2" s="55"/>
      <c r="OCT2" s="55"/>
      <c r="OCU2" s="55"/>
      <c r="OCV2" s="55"/>
      <c r="OCW2" s="55"/>
      <c r="OCX2" s="55"/>
      <c r="OCY2" s="55"/>
      <c r="OCZ2" s="55"/>
      <c r="ODA2" s="55"/>
      <c r="ODB2" s="55"/>
      <c r="ODC2" s="55"/>
      <c r="ODD2" s="55"/>
      <c r="ODE2" s="55"/>
      <c r="ODF2" s="55"/>
      <c r="ODG2" s="55"/>
      <c r="ODH2" s="55"/>
      <c r="ODI2" s="55"/>
      <c r="ODJ2" s="55"/>
      <c r="ODK2" s="55"/>
      <c r="ODL2" s="55"/>
      <c r="ODM2" s="55"/>
      <c r="ODN2" s="55"/>
      <c r="ODO2" s="55"/>
      <c r="ODP2" s="55"/>
      <c r="ODQ2" s="55"/>
      <c r="ODR2" s="55"/>
      <c r="ODS2" s="55"/>
      <c r="ODT2" s="55"/>
      <c r="ODU2" s="55"/>
      <c r="ODV2" s="55"/>
      <c r="ODW2" s="55"/>
      <c r="ODX2" s="55"/>
      <c r="ODY2" s="55"/>
      <c r="ODZ2" s="55"/>
      <c r="OEA2" s="55"/>
      <c r="OEB2" s="55"/>
      <c r="OEC2" s="55"/>
      <c r="OED2" s="55"/>
      <c r="OEE2" s="55"/>
      <c r="OEF2" s="55"/>
      <c r="OEG2" s="55"/>
      <c r="OEH2" s="55"/>
      <c r="OEI2" s="55"/>
      <c r="OEJ2" s="55"/>
      <c r="OEK2" s="55"/>
      <c r="OEL2" s="55"/>
      <c r="OEM2" s="55"/>
      <c r="OEN2" s="55"/>
      <c r="OEO2" s="55"/>
      <c r="OEP2" s="55"/>
      <c r="OEQ2" s="55"/>
      <c r="OER2" s="55"/>
      <c r="OES2" s="55"/>
      <c r="OET2" s="55"/>
      <c r="OEU2" s="55"/>
      <c r="OEV2" s="55"/>
      <c r="OEW2" s="55"/>
      <c r="OEX2" s="55"/>
      <c r="OEY2" s="55"/>
      <c r="OEZ2" s="55"/>
      <c r="OFA2" s="55"/>
      <c r="OFB2" s="55"/>
      <c r="OFC2" s="55"/>
      <c r="OFD2" s="55"/>
      <c r="OFE2" s="55"/>
      <c r="OFF2" s="55"/>
      <c r="OFG2" s="55"/>
      <c r="OFH2" s="55"/>
      <c r="OFI2" s="55"/>
      <c r="OFJ2" s="55"/>
      <c r="OFK2" s="55"/>
      <c r="OFL2" s="55"/>
      <c r="OFM2" s="55"/>
      <c r="OFN2" s="55"/>
      <c r="OFO2" s="55"/>
      <c r="OFP2" s="55"/>
      <c r="OFQ2" s="55"/>
      <c r="OFR2" s="55"/>
      <c r="OFS2" s="55"/>
      <c r="OFT2" s="55"/>
      <c r="OFU2" s="55"/>
      <c r="OFV2" s="55"/>
      <c r="OFW2" s="55"/>
      <c r="OFX2" s="55"/>
      <c r="OFY2" s="55"/>
      <c r="OFZ2" s="55"/>
      <c r="OGA2" s="55"/>
      <c r="OGB2" s="55"/>
      <c r="OGC2" s="55"/>
      <c r="OGD2" s="55"/>
      <c r="OGE2" s="55"/>
      <c r="OGF2" s="55"/>
      <c r="OGG2" s="55"/>
      <c r="OGH2" s="55"/>
      <c r="OGI2" s="55"/>
      <c r="OGJ2" s="55"/>
      <c r="OGK2" s="55"/>
      <c r="OGL2" s="55"/>
      <c r="OGM2" s="55"/>
      <c r="OGN2" s="55"/>
      <c r="OGO2" s="55"/>
      <c r="OGP2" s="55"/>
      <c r="OGQ2" s="55"/>
      <c r="OGR2" s="55"/>
      <c r="OGS2" s="55"/>
      <c r="OGT2" s="55"/>
      <c r="OGU2" s="55"/>
      <c r="OGV2" s="55"/>
      <c r="OGW2" s="55"/>
      <c r="OGX2" s="55"/>
      <c r="OGY2" s="55"/>
      <c r="OGZ2" s="55"/>
      <c r="OHA2" s="55"/>
      <c r="OHB2" s="55"/>
      <c r="OHC2" s="55"/>
      <c r="OHD2" s="55"/>
      <c r="OHE2" s="55"/>
      <c r="OHF2" s="55"/>
      <c r="OHG2" s="55"/>
      <c r="OHH2" s="55"/>
      <c r="OHI2" s="55"/>
      <c r="OHJ2" s="55"/>
      <c r="OHK2" s="55"/>
      <c r="OHL2" s="55"/>
      <c r="OHM2" s="55"/>
      <c r="OHN2" s="55"/>
      <c r="OHO2" s="55"/>
      <c r="OHP2" s="55"/>
      <c r="OHQ2" s="55"/>
      <c r="OHR2" s="55"/>
      <c r="OHS2" s="55"/>
      <c r="OHT2" s="55"/>
      <c r="OHU2" s="55"/>
      <c r="OHV2" s="55"/>
      <c r="OHW2" s="55"/>
      <c r="OHX2" s="55"/>
      <c r="OHY2" s="55"/>
      <c r="OHZ2" s="55"/>
      <c r="OIA2" s="55"/>
      <c r="OIB2" s="55"/>
      <c r="OIC2" s="55"/>
      <c r="OID2" s="55"/>
      <c r="OIE2" s="55"/>
      <c r="OIF2" s="55"/>
      <c r="OIG2" s="55"/>
      <c r="OIH2" s="55"/>
      <c r="OII2" s="55"/>
      <c r="OIJ2" s="55"/>
      <c r="OIK2" s="55"/>
      <c r="OIL2" s="55"/>
      <c r="OIM2" s="55"/>
      <c r="OIN2" s="55"/>
      <c r="OIO2" s="55"/>
      <c r="OIP2" s="55"/>
      <c r="OIQ2" s="55"/>
      <c r="OIR2" s="55"/>
      <c r="OIS2" s="55"/>
      <c r="OIT2" s="55"/>
      <c r="OIU2" s="55"/>
      <c r="OIV2" s="55"/>
      <c r="OIW2" s="55"/>
      <c r="OIX2" s="55"/>
      <c r="OIY2" s="55"/>
      <c r="OIZ2" s="55"/>
      <c r="OJA2" s="55"/>
      <c r="OJB2" s="55"/>
      <c r="OJC2" s="55"/>
      <c r="OJD2" s="55"/>
      <c r="OJE2" s="55"/>
      <c r="OJF2" s="55"/>
      <c r="OJG2" s="55"/>
      <c r="OJH2" s="55"/>
      <c r="OJI2" s="55"/>
      <c r="OJJ2" s="55"/>
      <c r="OJK2" s="55"/>
      <c r="OJL2" s="55"/>
      <c r="OJM2" s="55"/>
      <c r="OJN2" s="55"/>
      <c r="OJO2" s="55"/>
      <c r="OJP2" s="55"/>
      <c r="OJQ2" s="55"/>
      <c r="OJR2" s="55"/>
      <c r="OJS2" s="55"/>
      <c r="OJT2" s="55"/>
      <c r="OJU2" s="55"/>
      <c r="OJV2" s="55"/>
      <c r="OJW2" s="55"/>
      <c r="OJX2" s="55"/>
      <c r="OJY2" s="55"/>
      <c r="OJZ2" s="55"/>
      <c r="OKA2" s="55"/>
      <c r="OKB2" s="55"/>
      <c r="OKC2" s="55"/>
      <c r="OKD2" s="55"/>
      <c r="OKE2" s="55"/>
      <c r="OKF2" s="55"/>
      <c r="OKG2" s="55"/>
      <c r="OKH2" s="55"/>
      <c r="OKI2" s="55"/>
      <c r="OKJ2" s="55"/>
      <c r="OKK2" s="55"/>
      <c r="OKL2" s="55"/>
      <c r="OKM2" s="55"/>
      <c r="OKN2" s="55"/>
      <c r="OKO2" s="55"/>
      <c r="OKP2" s="55"/>
      <c r="OKQ2" s="55"/>
      <c r="OKR2" s="55"/>
      <c r="OKS2" s="55"/>
      <c r="OKT2" s="55"/>
      <c r="OKU2" s="55"/>
      <c r="OKV2" s="55"/>
      <c r="OKW2" s="55"/>
      <c r="OKX2" s="55"/>
      <c r="OKY2" s="55"/>
      <c r="OKZ2" s="55"/>
      <c r="OLA2" s="55"/>
      <c r="OLB2" s="55"/>
      <c r="OLC2" s="55"/>
      <c r="OLD2" s="55"/>
      <c r="OLE2" s="55"/>
      <c r="OLF2" s="55"/>
      <c r="OLG2" s="55"/>
      <c r="OLH2" s="55"/>
      <c r="OLI2" s="55"/>
      <c r="OLJ2" s="55"/>
      <c r="OLK2" s="55"/>
      <c r="OLL2" s="55"/>
      <c r="OLM2" s="55"/>
      <c r="OLN2" s="55"/>
      <c r="OLO2" s="55"/>
      <c r="OLP2" s="55"/>
      <c r="OLQ2" s="55"/>
      <c r="OLR2" s="55"/>
      <c r="OLS2" s="55"/>
      <c r="OLT2" s="55"/>
      <c r="OLU2" s="55"/>
      <c r="OLV2" s="55"/>
      <c r="OLW2" s="55"/>
      <c r="OLX2" s="55"/>
      <c r="OLY2" s="55"/>
      <c r="OLZ2" s="55"/>
      <c r="OMA2" s="55"/>
      <c r="OMB2" s="55"/>
      <c r="OMC2" s="55"/>
      <c r="OMD2" s="55"/>
      <c r="OME2" s="55"/>
      <c r="OMF2" s="55"/>
      <c r="OMG2" s="55"/>
      <c r="OMH2" s="55"/>
      <c r="OMI2" s="55"/>
      <c r="OMJ2" s="55"/>
      <c r="OMK2" s="55"/>
      <c r="OML2" s="55"/>
      <c r="OMM2" s="55"/>
      <c r="OMN2" s="55"/>
      <c r="OMO2" s="55"/>
      <c r="OMP2" s="55"/>
      <c r="OMQ2" s="55"/>
      <c r="OMR2" s="55"/>
      <c r="OMS2" s="55"/>
      <c r="OMT2" s="55"/>
      <c r="OMU2" s="55"/>
      <c r="OMV2" s="55"/>
      <c r="OMW2" s="55"/>
      <c r="OMX2" s="55"/>
      <c r="OMY2" s="55"/>
      <c r="OMZ2" s="55"/>
      <c r="ONA2" s="55"/>
      <c r="ONB2" s="55"/>
      <c r="ONC2" s="55"/>
      <c r="OND2" s="55"/>
      <c r="ONE2" s="55"/>
      <c r="ONF2" s="55"/>
      <c r="ONG2" s="55"/>
      <c r="ONH2" s="55"/>
      <c r="ONI2" s="55"/>
      <c r="ONJ2" s="55"/>
      <c r="ONK2" s="55"/>
      <c r="ONL2" s="55"/>
      <c r="ONM2" s="55"/>
      <c r="ONN2" s="55"/>
      <c r="ONO2" s="55"/>
      <c r="ONP2" s="55"/>
      <c r="ONQ2" s="55"/>
      <c r="ONR2" s="55"/>
      <c r="ONS2" s="55"/>
      <c r="ONT2" s="55"/>
      <c r="ONU2" s="55"/>
      <c r="ONV2" s="55"/>
      <c r="ONW2" s="55"/>
      <c r="ONX2" s="55"/>
      <c r="ONY2" s="55"/>
      <c r="ONZ2" s="55"/>
      <c r="OOA2" s="55"/>
      <c r="OOB2" s="55"/>
      <c r="OOC2" s="55"/>
      <c r="OOD2" s="55"/>
      <c r="OOE2" s="55"/>
      <c r="OOF2" s="55"/>
      <c r="OOG2" s="55"/>
      <c r="OOH2" s="55"/>
      <c r="OOI2" s="55"/>
      <c r="OOJ2" s="55"/>
      <c r="OOK2" s="55"/>
      <c r="OOL2" s="55"/>
      <c r="OOM2" s="55"/>
      <c r="OON2" s="55"/>
      <c r="OOO2" s="55"/>
      <c r="OOP2" s="55"/>
      <c r="OOQ2" s="55"/>
      <c r="OOR2" s="55"/>
      <c r="OOS2" s="55"/>
      <c r="OOT2" s="55"/>
      <c r="OOU2" s="55"/>
      <c r="OOV2" s="55"/>
      <c r="OOW2" s="55"/>
      <c r="OOX2" s="55"/>
      <c r="OOY2" s="55"/>
      <c r="OOZ2" s="55"/>
      <c r="OPA2" s="55"/>
      <c r="OPB2" s="55"/>
      <c r="OPC2" s="55"/>
      <c r="OPD2" s="55"/>
      <c r="OPE2" s="55"/>
      <c r="OPF2" s="55"/>
      <c r="OPG2" s="55"/>
      <c r="OPH2" s="55"/>
      <c r="OPI2" s="55"/>
      <c r="OPJ2" s="55"/>
      <c r="OPK2" s="55"/>
      <c r="OPL2" s="55"/>
      <c r="OPM2" s="55"/>
      <c r="OPN2" s="55"/>
      <c r="OPO2" s="55"/>
      <c r="OPP2" s="55"/>
      <c r="OPQ2" s="55"/>
      <c r="OPR2" s="55"/>
      <c r="OPS2" s="55"/>
      <c r="OPT2" s="55"/>
      <c r="OPU2" s="55"/>
      <c r="OPV2" s="55"/>
      <c r="OPW2" s="55"/>
      <c r="OPX2" s="55"/>
      <c r="OPY2" s="55"/>
      <c r="OPZ2" s="55"/>
      <c r="OQA2" s="55"/>
      <c r="OQB2" s="55"/>
      <c r="OQC2" s="55"/>
      <c r="OQD2" s="55"/>
      <c r="OQE2" s="55"/>
      <c r="OQF2" s="55"/>
      <c r="OQG2" s="55"/>
      <c r="OQH2" s="55"/>
      <c r="OQI2" s="55"/>
      <c r="OQJ2" s="55"/>
      <c r="OQK2" s="55"/>
      <c r="OQL2" s="55"/>
      <c r="OQM2" s="55"/>
      <c r="OQN2" s="55"/>
      <c r="OQO2" s="55"/>
      <c r="OQP2" s="55"/>
      <c r="OQQ2" s="55"/>
      <c r="OQR2" s="55"/>
      <c r="OQS2" s="55"/>
      <c r="OQT2" s="55"/>
      <c r="OQU2" s="55"/>
      <c r="OQV2" s="55"/>
      <c r="OQW2" s="55"/>
      <c r="OQX2" s="55"/>
      <c r="OQY2" s="55"/>
      <c r="OQZ2" s="55"/>
      <c r="ORA2" s="55"/>
      <c r="ORB2" s="55"/>
      <c r="ORC2" s="55"/>
      <c r="ORD2" s="55"/>
      <c r="ORE2" s="55"/>
      <c r="ORF2" s="55"/>
      <c r="ORG2" s="55"/>
      <c r="ORH2" s="55"/>
      <c r="ORI2" s="55"/>
      <c r="ORJ2" s="55"/>
      <c r="ORK2" s="55"/>
      <c r="ORL2" s="55"/>
      <c r="ORM2" s="55"/>
      <c r="ORN2" s="55"/>
      <c r="ORO2" s="55"/>
      <c r="ORP2" s="55"/>
      <c r="ORQ2" s="55"/>
      <c r="ORR2" s="55"/>
      <c r="ORS2" s="55"/>
      <c r="ORT2" s="55"/>
      <c r="ORU2" s="55"/>
      <c r="ORV2" s="55"/>
      <c r="ORW2" s="55"/>
      <c r="ORX2" s="55"/>
      <c r="ORY2" s="55"/>
      <c r="ORZ2" s="55"/>
      <c r="OSA2" s="55"/>
      <c r="OSB2" s="55"/>
      <c r="OSC2" s="55"/>
      <c r="OSD2" s="55"/>
      <c r="OSE2" s="55"/>
      <c r="OSF2" s="55"/>
      <c r="OSG2" s="55"/>
      <c r="OSH2" s="55"/>
      <c r="OSI2" s="55"/>
      <c r="OSJ2" s="55"/>
      <c r="OSK2" s="55"/>
      <c r="OSL2" s="55"/>
      <c r="OSM2" s="55"/>
      <c r="OSN2" s="55"/>
      <c r="OSO2" s="55"/>
      <c r="OSP2" s="55"/>
      <c r="OSQ2" s="55"/>
      <c r="OSR2" s="55"/>
      <c r="OSS2" s="55"/>
      <c r="OST2" s="55"/>
      <c r="OSU2" s="55"/>
      <c r="OSV2" s="55"/>
      <c r="OSW2" s="55"/>
      <c r="OSX2" s="55"/>
      <c r="OSY2" s="55"/>
      <c r="OSZ2" s="55"/>
      <c r="OTA2" s="55"/>
      <c r="OTB2" s="55"/>
      <c r="OTC2" s="55"/>
      <c r="OTD2" s="55"/>
      <c r="OTE2" s="55"/>
      <c r="OTF2" s="55"/>
      <c r="OTG2" s="55"/>
      <c r="OTH2" s="55"/>
      <c r="OTI2" s="55"/>
      <c r="OTJ2" s="55"/>
      <c r="OTK2" s="55"/>
      <c r="OTL2" s="55"/>
      <c r="OTM2" s="55"/>
      <c r="OTN2" s="55"/>
      <c r="OTO2" s="55"/>
      <c r="OTP2" s="55"/>
      <c r="OTQ2" s="55"/>
      <c r="OTR2" s="55"/>
      <c r="OTS2" s="55"/>
      <c r="OTT2" s="55"/>
      <c r="OTU2" s="55"/>
      <c r="OTV2" s="55"/>
      <c r="OTW2" s="55"/>
      <c r="OTX2" s="55"/>
      <c r="OTY2" s="55"/>
      <c r="OTZ2" s="55"/>
      <c r="OUA2" s="55"/>
      <c r="OUB2" s="55"/>
      <c r="OUC2" s="55"/>
      <c r="OUD2" s="55"/>
      <c r="OUE2" s="55"/>
      <c r="OUF2" s="55"/>
      <c r="OUG2" s="55"/>
      <c r="OUH2" s="55"/>
      <c r="OUI2" s="55"/>
      <c r="OUJ2" s="55"/>
      <c r="OUK2" s="55"/>
      <c r="OUL2" s="55"/>
      <c r="OUM2" s="55"/>
      <c r="OUN2" s="55"/>
      <c r="OUO2" s="55"/>
      <c r="OUP2" s="55"/>
      <c r="OUQ2" s="55"/>
      <c r="OUR2" s="55"/>
      <c r="OUS2" s="55"/>
      <c r="OUT2" s="55"/>
      <c r="OUU2" s="55"/>
      <c r="OUV2" s="55"/>
      <c r="OUW2" s="55"/>
      <c r="OUX2" s="55"/>
      <c r="OUY2" s="55"/>
      <c r="OUZ2" s="55"/>
      <c r="OVA2" s="55"/>
      <c r="OVB2" s="55"/>
      <c r="OVC2" s="55"/>
      <c r="OVD2" s="55"/>
      <c r="OVE2" s="55"/>
      <c r="OVF2" s="55"/>
      <c r="OVG2" s="55"/>
      <c r="OVH2" s="55"/>
      <c r="OVI2" s="55"/>
      <c r="OVJ2" s="55"/>
      <c r="OVK2" s="55"/>
      <c r="OVL2" s="55"/>
      <c r="OVM2" s="55"/>
      <c r="OVN2" s="55"/>
      <c r="OVO2" s="55"/>
      <c r="OVP2" s="55"/>
      <c r="OVQ2" s="55"/>
      <c r="OVR2" s="55"/>
      <c r="OVS2" s="55"/>
      <c r="OVT2" s="55"/>
      <c r="OVU2" s="55"/>
      <c r="OVV2" s="55"/>
      <c r="OVW2" s="55"/>
      <c r="OVX2" s="55"/>
      <c r="OVY2" s="55"/>
      <c r="OVZ2" s="55"/>
      <c r="OWA2" s="55"/>
      <c r="OWB2" s="55"/>
      <c r="OWC2" s="55"/>
      <c r="OWD2" s="55"/>
      <c r="OWE2" s="55"/>
      <c r="OWF2" s="55"/>
      <c r="OWG2" s="55"/>
      <c r="OWH2" s="55"/>
      <c r="OWI2" s="55"/>
      <c r="OWJ2" s="55"/>
      <c r="OWK2" s="55"/>
      <c r="OWL2" s="55"/>
      <c r="OWM2" s="55"/>
      <c r="OWN2" s="55"/>
      <c r="OWO2" s="55"/>
      <c r="OWP2" s="55"/>
      <c r="OWQ2" s="55"/>
      <c r="OWR2" s="55"/>
      <c r="OWS2" s="55"/>
      <c r="OWT2" s="55"/>
      <c r="OWU2" s="55"/>
      <c r="OWV2" s="55"/>
      <c r="OWW2" s="55"/>
      <c r="OWX2" s="55"/>
      <c r="OWY2" s="55"/>
      <c r="OWZ2" s="55"/>
      <c r="OXA2" s="55"/>
      <c r="OXB2" s="55"/>
      <c r="OXC2" s="55"/>
      <c r="OXD2" s="55"/>
      <c r="OXE2" s="55"/>
      <c r="OXF2" s="55"/>
      <c r="OXG2" s="55"/>
      <c r="OXH2" s="55"/>
      <c r="OXI2" s="55"/>
      <c r="OXJ2" s="55"/>
      <c r="OXK2" s="55"/>
      <c r="OXL2" s="55"/>
      <c r="OXM2" s="55"/>
      <c r="OXN2" s="55"/>
      <c r="OXO2" s="55"/>
      <c r="OXP2" s="55"/>
      <c r="OXQ2" s="55"/>
      <c r="OXR2" s="55"/>
      <c r="OXS2" s="55"/>
      <c r="OXT2" s="55"/>
      <c r="OXU2" s="55"/>
      <c r="OXV2" s="55"/>
      <c r="OXW2" s="55"/>
      <c r="OXX2" s="55"/>
      <c r="OXY2" s="55"/>
      <c r="OXZ2" s="55"/>
      <c r="OYA2" s="55"/>
      <c r="OYB2" s="55"/>
      <c r="OYC2" s="55"/>
      <c r="OYD2" s="55"/>
      <c r="OYE2" s="55"/>
      <c r="OYF2" s="55"/>
      <c r="OYG2" s="55"/>
      <c r="OYH2" s="55"/>
      <c r="OYI2" s="55"/>
      <c r="OYJ2" s="55"/>
      <c r="OYK2" s="55"/>
      <c r="OYL2" s="55"/>
      <c r="OYM2" s="55"/>
      <c r="OYN2" s="55"/>
      <c r="OYO2" s="55"/>
      <c r="OYP2" s="55"/>
      <c r="OYQ2" s="55"/>
      <c r="OYR2" s="55"/>
      <c r="OYS2" s="55"/>
      <c r="OYT2" s="55"/>
      <c r="OYU2" s="55"/>
      <c r="OYV2" s="55"/>
      <c r="OYW2" s="55"/>
      <c r="OYX2" s="55"/>
      <c r="OYY2" s="55"/>
      <c r="OYZ2" s="55"/>
      <c r="OZA2" s="55"/>
      <c r="OZB2" s="55"/>
      <c r="OZC2" s="55"/>
      <c r="OZD2" s="55"/>
      <c r="OZE2" s="55"/>
      <c r="OZF2" s="55"/>
      <c r="OZG2" s="55"/>
      <c r="OZH2" s="55"/>
      <c r="OZI2" s="55"/>
      <c r="OZJ2" s="55"/>
      <c r="OZK2" s="55"/>
      <c r="OZL2" s="55"/>
      <c r="OZM2" s="55"/>
      <c r="OZN2" s="55"/>
      <c r="OZO2" s="55"/>
      <c r="OZP2" s="55"/>
      <c r="OZQ2" s="55"/>
      <c r="OZR2" s="55"/>
      <c r="OZS2" s="55"/>
      <c r="OZT2" s="55"/>
      <c r="OZU2" s="55"/>
      <c r="OZV2" s="55"/>
      <c r="OZW2" s="55"/>
      <c r="OZX2" s="55"/>
      <c r="OZY2" s="55"/>
      <c r="OZZ2" s="55"/>
      <c r="PAA2" s="55"/>
      <c r="PAB2" s="55"/>
      <c r="PAC2" s="55"/>
      <c r="PAD2" s="55"/>
      <c r="PAE2" s="55"/>
      <c r="PAF2" s="55"/>
      <c r="PAG2" s="55"/>
      <c r="PAH2" s="55"/>
      <c r="PAI2" s="55"/>
      <c r="PAJ2" s="55"/>
      <c r="PAK2" s="55"/>
      <c r="PAL2" s="55"/>
      <c r="PAM2" s="55"/>
      <c r="PAN2" s="55"/>
      <c r="PAO2" s="55"/>
      <c r="PAP2" s="55"/>
      <c r="PAQ2" s="55"/>
      <c r="PAR2" s="55"/>
      <c r="PAS2" s="55"/>
      <c r="PAT2" s="55"/>
      <c r="PAU2" s="55"/>
      <c r="PAV2" s="55"/>
      <c r="PAW2" s="55"/>
      <c r="PAX2" s="55"/>
      <c r="PAY2" s="55"/>
      <c r="PAZ2" s="55"/>
      <c r="PBA2" s="55"/>
      <c r="PBB2" s="55"/>
      <c r="PBC2" s="55"/>
      <c r="PBD2" s="55"/>
      <c r="PBE2" s="55"/>
      <c r="PBF2" s="55"/>
      <c r="PBG2" s="55"/>
      <c r="PBH2" s="55"/>
      <c r="PBI2" s="55"/>
      <c r="PBJ2" s="55"/>
      <c r="PBK2" s="55"/>
      <c r="PBL2" s="55"/>
      <c r="PBM2" s="55"/>
      <c r="PBN2" s="55"/>
      <c r="PBO2" s="55"/>
      <c r="PBP2" s="55"/>
      <c r="PBQ2" s="55"/>
      <c r="PBR2" s="55"/>
      <c r="PBS2" s="55"/>
      <c r="PBT2" s="55"/>
      <c r="PBU2" s="55"/>
      <c r="PBV2" s="55"/>
      <c r="PBW2" s="55"/>
      <c r="PBX2" s="55"/>
      <c r="PBY2" s="55"/>
      <c r="PBZ2" s="55"/>
      <c r="PCA2" s="55"/>
      <c r="PCB2" s="55"/>
      <c r="PCC2" s="55"/>
      <c r="PCD2" s="55"/>
      <c r="PCE2" s="55"/>
      <c r="PCF2" s="55"/>
      <c r="PCG2" s="55"/>
      <c r="PCH2" s="55"/>
      <c r="PCI2" s="55"/>
      <c r="PCJ2" s="55"/>
      <c r="PCK2" s="55"/>
      <c r="PCL2" s="55"/>
      <c r="PCM2" s="55"/>
      <c r="PCN2" s="55"/>
      <c r="PCO2" s="55"/>
      <c r="PCP2" s="55"/>
      <c r="PCQ2" s="55"/>
      <c r="PCR2" s="55"/>
      <c r="PCS2" s="55"/>
      <c r="PCT2" s="55"/>
      <c r="PCU2" s="55"/>
      <c r="PCV2" s="55"/>
      <c r="PCW2" s="55"/>
      <c r="PCX2" s="55"/>
      <c r="PCY2" s="55"/>
      <c r="PCZ2" s="55"/>
      <c r="PDA2" s="55"/>
      <c r="PDB2" s="55"/>
      <c r="PDC2" s="55"/>
      <c r="PDD2" s="55"/>
      <c r="PDE2" s="55"/>
      <c r="PDF2" s="55"/>
      <c r="PDG2" s="55"/>
      <c r="PDH2" s="55"/>
      <c r="PDI2" s="55"/>
      <c r="PDJ2" s="55"/>
      <c r="PDK2" s="55"/>
      <c r="PDL2" s="55"/>
      <c r="PDM2" s="55"/>
      <c r="PDN2" s="55"/>
      <c r="PDO2" s="55"/>
      <c r="PDP2" s="55"/>
      <c r="PDQ2" s="55"/>
      <c r="PDR2" s="55"/>
      <c r="PDS2" s="55"/>
      <c r="PDT2" s="55"/>
      <c r="PDU2" s="55"/>
      <c r="PDV2" s="55"/>
      <c r="PDW2" s="55"/>
      <c r="PDX2" s="55"/>
      <c r="PDY2" s="55"/>
      <c r="PDZ2" s="55"/>
      <c r="PEA2" s="55"/>
      <c r="PEB2" s="55"/>
      <c r="PEC2" s="55"/>
      <c r="PED2" s="55"/>
      <c r="PEE2" s="55"/>
      <c r="PEF2" s="55"/>
      <c r="PEG2" s="55"/>
      <c r="PEH2" s="55"/>
      <c r="PEI2" s="55"/>
      <c r="PEJ2" s="55"/>
      <c r="PEK2" s="55"/>
      <c r="PEL2" s="55"/>
      <c r="PEM2" s="55"/>
      <c r="PEN2" s="55"/>
      <c r="PEO2" s="55"/>
      <c r="PEP2" s="55"/>
      <c r="PEQ2" s="55"/>
      <c r="PER2" s="55"/>
      <c r="PES2" s="55"/>
      <c r="PET2" s="55"/>
      <c r="PEU2" s="55"/>
      <c r="PEV2" s="55"/>
      <c r="PEW2" s="55"/>
      <c r="PEX2" s="55"/>
      <c r="PEY2" s="55"/>
      <c r="PEZ2" s="55"/>
      <c r="PFA2" s="55"/>
      <c r="PFB2" s="55"/>
      <c r="PFC2" s="55"/>
      <c r="PFD2" s="55"/>
      <c r="PFE2" s="55"/>
      <c r="PFF2" s="55"/>
      <c r="PFG2" s="55"/>
      <c r="PFH2" s="55"/>
      <c r="PFI2" s="55"/>
      <c r="PFJ2" s="55"/>
      <c r="PFK2" s="55"/>
      <c r="PFL2" s="55"/>
      <c r="PFM2" s="55"/>
      <c r="PFN2" s="55"/>
      <c r="PFO2" s="55"/>
      <c r="PFP2" s="55"/>
      <c r="PFQ2" s="55"/>
      <c r="PFR2" s="55"/>
      <c r="PFS2" s="55"/>
      <c r="PFT2" s="55"/>
      <c r="PFU2" s="55"/>
      <c r="PFV2" s="55"/>
      <c r="PFW2" s="55"/>
      <c r="PFX2" s="55"/>
      <c r="PFY2" s="55"/>
      <c r="PFZ2" s="55"/>
      <c r="PGA2" s="55"/>
      <c r="PGB2" s="55"/>
      <c r="PGC2" s="55"/>
      <c r="PGD2" s="55"/>
      <c r="PGE2" s="55"/>
      <c r="PGF2" s="55"/>
      <c r="PGG2" s="55"/>
      <c r="PGH2" s="55"/>
      <c r="PGI2" s="55"/>
      <c r="PGJ2" s="55"/>
      <c r="PGK2" s="55"/>
      <c r="PGL2" s="55"/>
      <c r="PGM2" s="55"/>
      <c r="PGN2" s="55"/>
      <c r="PGO2" s="55"/>
      <c r="PGP2" s="55"/>
      <c r="PGQ2" s="55"/>
      <c r="PGR2" s="55"/>
      <c r="PGS2" s="55"/>
      <c r="PGT2" s="55"/>
      <c r="PGU2" s="55"/>
      <c r="PGV2" s="55"/>
      <c r="PGW2" s="55"/>
      <c r="PGX2" s="55"/>
      <c r="PGY2" s="55"/>
      <c r="PGZ2" s="55"/>
      <c r="PHA2" s="55"/>
      <c r="PHB2" s="55"/>
      <c r="PHC2" s="55"/>
      <c r="PHD2" s="55"/>
      <c r="PHE2" s="55"/>
      <c r="PHF2" s="55"/>
      <c r="PHG2" s="55"/>
      <c r="PHH2" s="55"/>
      <c r="PHI2" s="55"/>
      <c r="PHJ2" s="55"/>
      <c r="PHK2" s="55"/>
      <c r="PHL2" s="55"/>
      <c r="PHM2" s="55"/>
      <c r="PHN2" s="55"/>
      <c r="PHO2" s="55"/>
      <c r="PHP2" s="55"/>
      <c r="PHQ2" s="55"/>
      <c r="PHR2" s="55"/>
      <c r="PHS2" s="55"/>
      <c r="PHT2" s="55"/>
      <c r="PHU2" s="55"/>
      <c r="PHV2" s="55"/>
      <c r="PHW2" s="55"/>
      <c r="PHX2" s="55"/>
      <c r="PHY2" s="55"/>
      <c r="PHZ2" s="55"/>
      <c r="PIA2" s="55"/>
      <c r="PIB2" s="55"/>
      <c r="PIC2" s="55"/>
      <c r="PID2" s="55"/>
      <c r="PIE2" s="55"/>
      <c r="PIF2" s="55"/>
      <c r="PIG2" s="55"/>
      <c r="PIH2" s="55"/>
      <c r="PII2" s="55"/>
      <c r="PIJ2" s="55"/>
      <c r="PIK2" s="55"/>
      <c r="PIL2" s="55"/>
      <c r="PIM2" s="55"/>
      <c r="PIN2" s="55"/>
      <c r="PIO2" s="55"/>
      <c r="PIP2" s="55"/>
      <c r="PIQ2" s="55"/>
      <c r="PIR2" s="55"/>
      <c r="PIS2" s="55"/>
      <c r="PIT2" s="55"/>
      <c r="PIU2" s="55"/>
      <c r="PIV2" s="55"/>
      <c r="PIW2" s="55"/>
      <c r="PIX2" s="55"/>
      <c r="PIY2" s="55"/>
      <c r="PIZ2" s="55"/>
      <c r="PJA2" s="55"/>
      <c r="PJB2" s="55"/>
      <c r="PJC2" s="55"/>
      <c r="PJD2" s="55"/>
      <c r="PJE2" s="55"/>
      <c r="PJF2" s="55"/>
      <c r="PJG2" s="55"/>
      <c r="PJH2" s="55"/>
      <c r="PJI2" s="55"/>
      <c r="PJJ2" s="55"/>
      <c r="PJK2" s="55"/>
      <c r="PJL2" s="55"/>
      <c r="PJM2" s="55"/>
      <c r="PJN2" s="55"/>
      <c r="PJO2" s="55"/>
      <c r="PJP2" s="55"/>
      <c r="PJQ2" s="55"/>
      <c r="PJR2" s="55"/>
      <c r="PJS2" s="55"/>
      <c r="PJT2" s="55"/>
      <c r="PJU2" s="55"/>
      <c r="PJV2" s="55"/>
      <c r="PJW2" s="55"/>
      <c r="PJX2" s="55"/>
      <c r="PJY2" s="55"/>
      <c r="PJZ2" s="55"/>
      <c r="PKA2" s="55"/>
      <c r="PKB2" s="55"/>
      <c r="PKC2" s="55"/>
      <c r="PKD2" s="55"/>
      <c r="PKE2" s="55"/>
      <c r="PKF2" s="55"/>
      <c r="PKG2" s="55"/>
      <c r="PKH2" s="55"/>
      <c r="PKI2" s="55"/>
      <c r="PKJ2" s="55"/>
      <c r="PKK2" s="55"/>
      <c r="PKL2" s="55"/>
      <c r="PKM2" s="55"/>
      <c r="PKN2" s="55"/>
      <c r="PKO2" s="55"/>
      <c r="PKP2" s="55"/>
      <c r="PKQ2" s="55"/>
      <c r="PKR2" s="55"/>
      <c r="PKS2" s="55"/>
      <c r="PKT2" s="55"/>
      <c r="PKU2" s="55"/>
      <c r="PKV2" s="55"/>
      <c r="PKW2" s="55"/>
      <c r="PKX2" s="55"/>
      <c r="PKY2" s="55"/>
      <c r="PKZ2" s="55"/>
      <c r="PLA2" s="55"/>
      <c r="PLB2" s="55"/>
      <c r="PLC2" s="55"/>
      <c r="PLD2" s="55"/>
      <c r="PLE2" s="55"/>
      <c r="PLF2" s="55"/>
      <c r="PLG2" s="55"/>
      <c r="PLH2" s="55"/>
      <c r="PLI2" s="55"/>
      <c r="PLJ2" s="55"/>
      <c r="PLK2" s="55"/>
      <c r="PLL2" s="55"/>
      <c r="PLM2" s="55"/>
      <c r="PLN2" s="55"/>
      <c r="PLO2" s="55"/>
      <c r="PLP2" s="55"/>
      <c r="PLQ2" s="55"/>
      <c r="PLR2" s="55"/>
      <c r="PLS2" s="55"/>
      <c r="PLT2" s="55"/>
      <c r="PLU2" s="55"/>
      <c r="PLV2" s="55"/>
      <c r="PLW2" s="55"/>
      <c r="PLX2" s="55"/>
      <c r="PLY2" s="55"/>
      <c r="PLZ2" s="55"/>
      <c r="PMA2" s="55"/>
      <c r="PMB2" s="55"/>
      <c r="PMC2" s="55"/>
      <c r="PMD2" s="55"/>
      <c r="PME2" s="55"/>
      <c r="PMF2" s="55"/>
      <c r="PMG2" s="55"/>
      <c r="PMH2" s="55"/>
      <c r="PMI2" s="55"/>
      <c r="PMJ2" s="55"/>
      <c r="PMK2" s="55"/>
      <c r="PML2" s="55"/>
      <c r="PMM2" s="55"/>
      <c r="PMN2" s="55"/>
      <c r="PMO2" s="55"/>
      <c r="PMP2" s="55"/>
      <c r="PMQ2" s="55"/>
      <c r="PMR2" s="55"/>
      <c r="PMS2" s="55"/>
      <c r="PMT2" s="55"/>
      <c r="PMU2" s="55"/>
      <c r="PMV2" s="55"/>
      <c r="PMW2" s="55"/>
      <c r="PMX2" s="55"/>
      <c r="PMY2" s="55"/>
      <c r="PMZ2" s="55"/>
      <c r="PNA2" s="55"/>
      <c r="PNB2" s="55"/>
      <c r="PNC2" s="55"/>
      <c r="PND2" s="55"/>
      <c r="PNE2" s="55"/>
      <c r="PNF2" s="55"/>
      <c r="PNG2" s="55"/>
      <c r="PNH2" s="55"/>
      <c r="PNI2" s="55"/>
      <c r="PNJ2" s="55"/>
      <c r="PNK2" s="55"/>
      <c r="PNL2" s="55"/>
      <c r="PNM2" s="55"/>
      <c r="PNN2" s="55"/>
      <c r="PNO2" s="55"/>
      <c r="PNP2" s="55"/>
      <c r="PNQ2" s="55"/>
      <c r="PNR2" s="55"/>
      <c r="PNS2" s="55"/>
      <c r="PNT2" s="55"/>
      <c r="PNU2" s="55"/>
      <c r="PNV2" s="55"/>
      <c r="PNW2" s="55"/>
      <c r="PNX2" s="55"/>
      <c r="PNY2" s="55"/>
      <c r="PNZ2" s="55"/>
      <c r="POA2" s="55"/>
      <c r="POB2" s="55"/>
      <c r="POC2" s="55"/>
      <c r="POD2" s="55"/>
      <c r="POE2" s="55"/>
      <c r="POF2" s="55"/>
      <c r="POG2" s="55"/>
      <c r="POH2" s="55"/>
      <c r="POI2" s="55"/>
      <c r="POJ2" s="55"/>
      <c r="POK2" s="55"/>
      <c r="POL2" s="55"/>
      <c r="POM2" s="55"/>
      <c r="PON2" s="55"/>
      <c r="POO2" s="55"/>
      <c r="POP2" s="55"/>
      <c r="POQ2" s="55"/>
      <c r="POR2" s="55"/>
      <c r="POS2" s="55"/>
      <c r="POT2" s="55"/>
      <c r="POU2" s="55"/>
      <c r="POV2" s="55"/>
      <c r="POW2" s="55"/>
      <c r="POX2" s="55"/>
      <c r="POY2" s="55"/>
      <c r="POZ2" s="55"/>
      <c r="PPA2" s="55"/>
      <c r="PPB2" s="55"/>
      <c r="PPC2" s="55"/>
      <c r="PPD2" s="55"/>
      <c r="PPE2" s="55"/>
      <c r="PPF2" s="55"/>
      <c r="PPG2" s="55"/>
      <c r="PPH2" s="55"/>
      <c r="PPI2" s="55"/>
      <c r="PPJ2" s="55"/>
      <c r="PPK2" s="55"/>
      <c r="PPL2" s="55"/>
      <c r="PPM2" s="55"/>
      <c r="PPN2" s="55"/>
      <c r="PPO2" s="55"/>
      <c r="PPP2" s="55"/>
      <c r="PPQ2" s="55"/>
      <c r="PPR2" s="55"/>
      <c r="PPS2" s="55"/>
      <c r="PPT2" s="55"/>
      <c r="PPU2" s="55"/>
      <c r="PPV2" s="55"/>
      <c r="PPW2" s="55"/>
      <c r="PPX2" s="55"/>
      <c r="PPY2" s="55"/>
      <c r="PPZ2" s="55"/>
      <c r="PQA2" s="55"/>
      <c r="PQB2" s="55"/>
      <c r="PQC2" s="55"/>
      <c r="PQD2" s="55"/>
      <c r="PQE2" s="55"/>
      <c r="PQF2" s="55"/>
      <c r="PQG2" s="55"/>
      <c r="PQH2" s="55"/>
      <c r="PQI2" s="55"/>
      <c r="PQJ2" s="55"/>
      <c r="PQK2" s="55"/>
      <c r="PQL2" s="55"/>
      <c r="PQM2" s="55"/>
      <c r="PQN2" s="55"/>
      <c r="PQO2" s="55"/>
      <c r="PQP2" s="55"/>
      <c r="PQQ2" s="55"/>
      <c r="PQR2" s="55"/>
      <c r="PQS2" s="55"/>
      <c r="PQT2" s="55"/>
      <c r="PQU2" s="55"/>
      <c r="PQV2" s="55"/>
      <c r="PQW2" s="55"/>
      <c r="PQX2" s="55"/>
      <c r="PQY2" s="55"/>
      <c r="PQZ2" s="55"/>
      <c r="PRA2" s="55"/>
      <c r="PRB2" s="55"/>
      <c r="PRC2" s="55"/>
      <c r="PRD2" s="55"/>
      <c r="PRE2" s="55"/>
      <c r="PRF2" s="55"/>
      <c r="PRG2" s="55"/>
      <c r="PRH2" s="55"/>
      <c r="PRI2" s="55"/>
      <c r="PRJ2" s="55"/>
      <c r="PRK2" s="55"/>
      <c r="PRL2" s="55"/>
      <c r="PRM2" s="55"/>
      <c r="PRN2" s="55"/>
      <c r="PRO2" s="55"/>
      <c r="PRP2" s="55"/>
      <c r="PRQ2" s="55"/>
      <c r="PRR2" s="55"/>
      <c r="PRS2" s="55"/>
      <c r="PRT2" s="55"/>
      <c r="PRU2" s="55"/>
      <c r="PRV2" s="55"/>
      <c r="PRW2" s="55"/>
      <c r="PRX2" s="55"/>
      <c r="PRY2" s="55"/>
      <c r="PRZ2" s="55"/>
      <c r="PSA2" s="55"/>
      <c r="PSB2" s="55"/>
      <c r="PSC2" s="55"/>
      <c r="PSD2" s="55"/>
      <c r="PSE2" s="55"/>
      <c r="PSF2" s="55"/>
      <c r="PSG2" s="55"/>
      <c r="PSH2" s="55"/>
      <c r="PSI2" s="55"/>
      <c r="PSJ2" s="55"/>
      <c r="PSK2" s="55"/>
      <c r="PSL2" s="55"/>
      <c r="PSM2" s="55"/>
      <c r="PSN2" s="55"/>
      <c r="PSO2" s="55"/>
      <c r="PSP2" s="55"/>
      <c r="PSQ2" s="55"/>
      <c r="PSR2" s="55"/>
      <c r="PSS2" s="55"/>
      <c r="PST2" s="55"/>
      <c r="PSU2" s="55"/>
      <c r="PSV2" s="55"/>
      <c r="PSW2" s="55"/>
      <c r="PSX2" s="55"/>
      <c r="PSY2" s="55"/>
      <c r="PSZ2" s="55"/>
      <c r="PTA2" s="55"/>
      <c r="PTB2" s="55"/>
      <c r="PTC2" s="55"/>
      <c r="PTD2" s="55"/>
      <c r="PTE2" s="55"/>
      <c r="PTF2" s="55"/>
      <c r="PTG2" s="55"/>
      <c r="PTH2" s="55"/>
      <c r="PTI2" s="55"/>
      <c r="PTJ2" s="55"/>
      <c r="PTK2" s="55"/>
      <c r="PTL2" s="55"/>
      <c r="PTM2" s="55"/>
      <c r="PTN2" s="55"/>
      <c r="PTO2" s="55"/>
      <c r="PTP2" s="55"/>
      <c r="PTQ2" s="55"/>
      <c r="PTR2" s="55"/>
      <c r="PTS2" s="55"/>
      <c r="PTT2" s="55"/>
      <c r="PTU2" s="55"/>
      <c r="PTV2" s="55"/>
      <c r="PTW2" s="55"/>
      <c r="PTX2" s="55"/>
      <c r="PTY2" s="55"/>
      <c r="PTZ2" s="55"/>
      <c r="PUA2" s="55"/>
      <c r="PUB2" s="55"/>
      <c r="PUC2" s="55"/>
      <c r="PUD2" s="55"/>
      <c r="PUE2" s="55"/>
      <c r="PUF2" s="55"/>
      <c r="PUG2" s="55"/>
      <c r="PUH2" s="55"/>
      <c r="PUI2" s="55"/>
      <c r="PUJ2" s="55"/>
      <c r="PUK2" s="55"/>
      <c r="PUL2" s="55"/>
      <c r="PUM2" s="55"/>
      <c r="PUN2" s="55"/>
      <c r="PUO2" s="55"/>
      <c r="PUP2" s="55"/>
      <c r="PUQ2" s="55"/>
      <c r="PUR2" s="55"/>
      <c r="PUS2" s="55"/>
      <c r="PUT2" s="55"/>
      <c r="PUU2" s="55"/>
      <c r="PUV2" s="55"/>
      <c r="PUW2" s="55"/>
      <c r="PUX2" s="55"/>
      <c r="PUY2" s="55"/>
      <c r="PUZ2" s="55"/>
      <c r="PVA2" s="55"/>
      <c r="PVB2" s="55"/>
      <c r="PVC2" s="55"/>
      <c r="PVD2" s="55"/>
      <c r="PVE2" s="55"/>
      <c r="PVF2" s="55"/>
      <c r="PVG2" s="55"/>
      <c r="PVH2" s="55"/>
      <c r="PVI2" s="55"/>
      <c r="PVJ2" s="55"/>
      <c r="PVK2" s="55"/>
      <c r="PVL2" s="55"/>
      <c r="PVM2" s="55"/>
      <c r="PVN2" s="55"/>
      <c r="PVO2" s="55"/>
      <c r="PVP2" s="55"/>
      <c r="PVQ2" s="55"/>
      <c r="PVR2" s="55"/>
      <c r="PVS2" s="55"/>
      <c r="PVT2" s="55"/>
      <c r="PVU2" s="55"/>
      <c r="PVV2" s="55"/>
      <c r="PVW2" s="55"/>
      <c r="PVX2" s="55"/>
      <c r="PVY2" s="55"/>
      <c r="PVZ2" s="55"/>
      <c r="PWA2" s="55"/>
      <c r="PWB2" s="55"/>
      <c r="PWC2" s="55"/>
      <c r="PWD2" s="55"/>
      <c r="PWE2" s="55"/>
      <c r="PWF2" s="55"/>
      <c r="PWG2" s="55"/>
      <c r="PWH2" s="55"/>
      <c r="PWI2" s="55"/>
      <c r="PWJ2" s="55"/>
      <c r="PWK2" s="55"/>
      <c r="PWL2" s="55"/>
      <c r="PWM2" s="55"/>
      <c r="PWN2" s="55"/>
      <c r="PWO2" s="55"/>
      <c r="PWP2" s="55"/>
      <c r="PWQ2" s="55"/>
      <c r="PWR2" s="55"/>
      <c r="PWS2" s="55"/>
      <c r="PWT2" s="55"/>
      <c r="PWU2" s="55"/>
      <c r="PWV2" s="55"/>
      <c r="PWW2" s="55"/>
      <c r="PWX2" s="55"/>
      <c r="PWY2" s="55"/>
      <c r="PWZ2" s="55"/>
      <c r="PXA2" s="55"/>
      <c r="PXB2" s="55"/>
      <c r="PXC2" s="55"/>
      <c r="PXD2" s="55"/>
      <c r="PXE2" s="55"/>
      <c r="PXF2" s="55"/>
      <c r="PXG2" s="55"/>
      <c r="PXH2" s="55"/>
      <c r="PXI2" s="55"/>
      <c r="PXJ2" s="55"/>
      <c r="PXK2" s="55"/>
      <c r="PXL2" s="55"/>
      <c r="PXM2" s="55"/>
      <c r="PXN2" s="55"/>
      <c r="PXO2" s="55"/>
      <c r="PXP2" s="55"/>
      <c r="PXQ2" s="55"/>
      <c r="PXR2" s="55"/>
      <c r="PXS2" s="55"/>
      <c r="PXT2" s="55"/>
      <c r="PXU2" s="55"/>
      <c r="PXV2" s="55"/>
      <c r="PXW2" s="55"/>
      <c r="PXX2" s="55"/>
      <c r="PXY2" s="55"/>
      <c r="PXZ2" s="55"/>
      <c r="PYA2" s="55"/>
      <c r="PYB2" s="55"/>
      <c r="PYC2" s="55"/>
      <c r="PYD2" s="55"/>
      <c r="PYE2" s="55"/>
      <c r="PYF2" s="55"/>
      <c r="PYG2" s="55"/>
      <c r="PYH2" s="55"/>
      <c r="PYI2" s="55"/>
      <c r="PYJ2" s="55"/>
      <c r="PYK2" s="55"/>
      <c r="PYL2" s="55"/>
      <c r="PYM2" s="55"/>
      <c r="PYN2" s="55"/>
      <c r="PYO2" s="55"/>
      <c r="PYP2" s="55"/>
      <c r="PYQ2" s="55"/>
      <c r="PYR2" s="55"/>
      <c r="PYS2" s="55"/>
      <c r="PYT2" s="55"/>
      <c r="PYU2" s="55"/>
      <c r="PYV2" s="55"/>
      <c r="PYW2" s="55"/>
      <c r="PYX2" s="55"/>
      <c r="PYY2" s="55"/>
      <c r="PYZ2" s="55"/>
      <c r="PZA2" s="55"/>
      <c r="PZB2" s="55"/>
      <c r="PZC2" s="55"/>
      <c r="PZD2" s="55"/>
      <c r="PZE2" s="55"/>
      <c r="PZF2" s="55"/>
      <c r="PZG2" s="55"/>
      <c r="PZH2" s="55"/>
      <c r="PZI2" s="55"/>
      <c r="PZJ2" s="55"/>
      <c r="PZK2" s="55"/>
      <c r="PZL2" s="55"/>
      <c r="PZM2" s="55"/>
      <c r="PZN2" s="55"/>
      <c r="PZO2" s="55"/>
      <c r="PZP2" s="55"/>
      <c r="PZQ2" s="55"/>
      <c r="PZR2" s="55"/>
      <c r="PZS2" s="55"/>
      <c r="PZT2" s="55"/>
      <c r="PZU2" s="55"/>
      <c r="PZV2" s="55"/>
      <c r="PZW2" s="55"/>
      <c r="PZX2" s="55"/>
      <c r="PZY2" s="55"/>
      <c r="PZZ2" s="55"/>
      <c r="QAA2" s="55"/>
      <c r="QAB2" s="55"/>
      <c r="QAC2" s="55"/>
      <c r="QAD2" s="55"/>
      <c r="QAE2" s="55"/>
      <c r="QAF2" s="55"/>
      <c r="QAG2" s="55"/>
      <c r="QAH2" s="55"/>
      <c r="QAI2" s="55"/>
      <c r="QAJ2" s="55"/>
      <c r="QAK2" s="55"/>
      <c r="QAL2" s="55"/>
      <c r="QAM2" s="55"/>
      <c r="QAN2" s="55"/>
      <c r="QAO2" s="55"/>
      <c r="QAP2" s="55"/>
      <c r="QAQ2" s="55"/>
      <c r="QAR2" s="55"/>
      <c r="QAS2" s="55"/>
      <c r="QAT2" s="55"/>
      <c r="QAU2" s="55"/>
      <c r="QAV2" s="55"/>
      <c r="QAW2" s="55"/>
      <c r="QAX2" s="55"/>
      <c r="QAY2" s="55"/>
      <c r="QAZ2" s="55"/>
      <c r="QBA2" s="55"/>
      <c r="QBB2" s="55"/>
      <c r="QBC2" s="55"/>
      <c r="QBD2" s="55"/>
      <c r="QBE2" s="55"/>
      <c r="QBF2" s="55"/>
      <c r="QBG2" s="55"/>
      <c r="QBH2" s="55"/>
      <c r="QBI2" s="55"/>
      <c r="QBJ2" s="55"/>
      <c r="QBK2" s="55"/>
      <c r="QBL2" s="55"/>
      <c r="QBM2" s="55"/>
      <c r="QBN2" s="55"/>
      <c r="QBO2" s="55"/>
      <c r="QBP2" s="55"/>
      <c r="QBQ2" s="55"/>
      <c r="QBR2" s="55"/>
      <c r="QBS2" s="55"/>
      <c r="QBT2" s="55"/>
      <c r="QBU2" s="55"/>
      <c r="QBV2" s="55"/>
      <c r="QBW2" s="55"/>
      <c r="QBX2" s="55"/>
      <c r="QBY2" s="55"/>
      <c r="QBZ2" s="55"/>
      <c r="QCA2" s="55"/>
      <c r="QCB2" s="55"/>
      <c r="QCC2" s="55"/>
      <c r="QCD2" s="55"/>
      <c r="QCE2" s="55"/>
      <c r="QCF2" s="55"/>
      <c r="QCG2" s="55"/>
      <c r="QCH2" s="55"/>
      <c r="QCI2" s="55"/>
      <c r="QCJ2" s="55"/>
      <c r="QCK2" s="55"/>
      <c r="QCL2" s="55"/>
      <c r="QCM2" s="55"/>
      <c r="QCN2" s="55"/>
      <c r="QCO2" s="55"/>
      <c r="QCP2" s="55"/>
      <c r="QCQ2" s="55"/>
      <c r="QCR2" s="55"/>
      <c r="QCS2" s="55"/>
      <c r="QCT2" s="55"/>
      <c r="QCU2" s="55"/>
      <c r="QCV2" s="55"/>
      <c r="QCW2" s="55"/>
      <c r="QCX2" s="55"/>
      <c r="QCY2" s="55"/>
      <c r="QCZ2" s="55"/>
      <c r="QDA2" s="55"/>
      <c r="QDB2" s="55"/>
      <c r="QDC2" s="55"/>
      <c r="QDD2" s="55"/>
      <c r="QDE2" s="55"/>
      <c r="QDF2" s="55"/>
      <c r="QDG2" s="55"/>
      <c r="QDH2" s="55"/>
      <c r="QDI2" s="55"/>
      <c r="QDJ2" s="55"/>
      <c r="QDK2" s="55"/>
      <c r="QDL2" s="55"/>
      <c r="QDM2" s="55"/>
      <c r="QDN2" s="55"/>
      <c r="QDO2" s="55"/>
      <c r="QDP2" s="55"/>
      <c r="QDQ2" s="55"/>
      <c r="QDR2" s="55"/>
      <c r="QDS2" s="55"/>
      <c r="QDT2" s="55"/>
      <c r="QDU2" s="55"/>
      <c r="QDV2" s="55"/>
      <c r="QDW2" s="55"/>
      <c r="QDX2" s="55"/>
      <c r="QDY2" s="55"/>
      <c r="QDZ2" s="55"/>
      <c r="QEA2" s="55"/>
      <c r="QEB2" s="55"/>
      <c r="QEC2" s="55"/>
      <c r="QED2" s="55"/>
      <c r="QEE2" s="55"/>
      <c r="QEF2" s="55"/>
      <c r="QEG2" s="55"/>
      <c r="QEH2" s="55"/>
      <c r="QEI2" s="55"/>
      <c r="QEJ2" s="55"/>
      <c r="QEK2" s="55"/>
      <c r="QEL2" s="55"/>
      <c r="QEM2" s="55"/>
      <c r="QEN2" s="55"/>
      <c r="QEO2" s="55"/>
      <c r="QEP2" s="55"/>
      <c r="QEQ2" s="55"/>
      <c r="QER2" s="55"/>
      <c r="QES2" s="55"/>
      <c r="QET2" s="55"/>
      <c r="QEU2" s="55"/>
      <c r="QEV2" s="55"/>
      <c r="QEW2" s="55"/>
      <c r="QEX2" s="55"/>
      <c r="QEY2" s="55"/>
      <c r="QEZ2" s="55"/>
      <c r="QFA2" s="55"/>
      <c r="QFB2" s="55"/>
      <c r="QFC2" s="55"/>
      <c r="QFD2" s="55"/>
      <c r="QFE2" s="55"/>
      <c r="QFF2" s="55"/>
      <c r="QFG2" s="55"/>
      <c r="QFH2" s="55"/>
      <c r="QFI2" s="55"/>
      <c r="QFJ2" s="55"/>
      <c r="QFK2" s="55"/>
      <c r="QFL2" s="55"/>
      <c r="QFM2" s="55"/>
      <c r="QFN2" s="55"/>
      <c r="QFO2" s="55"/>
      <c r="QFP2" s="55"/>
      <c r="QFQ2" s="55"/>
      <c r="QFR2" s="55"/>
      <c r="QFS2" s="55"/>
      <c r="QFT2" s="55"/>
      <c r="QFU2" s="55"/>
      <c r="QFV2" s="55"/>
      <c r="QFW2" s="55"/>
      <c r="QFX2" s="55"/>
      <c r="QFY2" s="55"/>
      <c r="QFZ2" s="55"/>
      <c r="QGA2" s="55"/>
      <c r="QGB2" s="55"/>
      <c r="QGC2" s="55"/>
      <c r="QGD2" s="55"/>
      <c r="QGE2" s="55"/>
      <c r="QGF2" s="55"/>
      <c r="QGG2" s="55"/>
      <c r="QGH2" s="55"/>
      <c r="QGI2" s="55"/>
      <c r="QGJ2" s="55"/>
      <c r="QGK2" s="55"/>
      <c r="QGL2" s="55"/>
      <c r="QGM2" s="55"/>
      <c r="QGN2" s="55"/>
      <c r="QGO2" s="55"/>
      <c r="QGP2" s="55"/>
      <c r="QGQ2" s="55"/>
      <c r="QGR2" s="55"/>
      <c r="QGS2" s="55"/>
      <c r="QGT2" s="55"/>
      <c r="QGU2" s="55"/>
      <c r="QGV2" s="55"/>
      <c r="QGW2" s="55"/>
      <c r="QGX2" s="55"/>
      <c r="QGY2" s="55"/>
      <c r="QGZ2" s="55"/>
      <c r="QHA2" s="55"/>
      <c r="QHB2" s="55"/>
      <c r="QHC2" s="55"/>
      <c r="QHD2" s="55"/>
      <c r="QHE2" s="55"/>
      <c r="QHF2" s="55"/>
      <c r="QHG2" s="55"/>
      <c r="QHH2" s="55"/>
      <c r="QHI2" s="55"/>
      <c r="QHJ2" s="55"/>
      <c r="QHK2" s="55"/>
      <c r="QHL2" s="55"/>
      <c r="QHM2" s="55"/>
      <c r="QHN2" s="55"/>
      <c r="QHO2" s="55"/>
      <c r="QHP2" s="55"/>
      <c r="QHQ2" s="55"/>
      <c r="QHR2" s="55"/>
      <c r="QHS2" s="55"/>
      <c r="QHT2" s="55"/>
      <c r="QHU2" s="55"/>
      <c r="QHV2" s="55"/>
      <c r="QHW2" s="55"/>
      <c r="QHX2" s="55"/>
      <c r="QHY2" s="55"/>
      <c r="QHZ2" s="55"/>
      <c r="QIA2" s="55"/>
      <c r="QIB2" s="55"/>
      <c r="QIC2" s="55"/>
      <c r="QID2" s="55"/>
      <c r="QIE2" s="55"/>
      <c r="QIF2" s="55"/>
      <c r="QIG2" s="55"/>
      <c r="QIH2" s="55"/>
      <c r="QII2" s="55"/>
      <c r="QIJ2" s="55"/>
      <c r="QIK2" s="55"/>
      <c r="QIL2" s="55"/>
      <c r="QIM2" s="55"/>
      <c r="QIN2" s="55"/>
      <c r="QIO2" s="55"/>
      <c r="QIP2" s="55"/>
      <c r="QIQ2" s="55"/>
      <c r="QIR2" s="55"/>
      <c r="QIS2" s="55"/>
      <c r="QIT2" s="55"/>
      <c r="QIU2" s="55"/>
      <c r="QIV2" s="55"/>
      <c r="QIW2" s="55"/>
      <c r="QIX2" s="55"/>
      <c r="QIY2" s="55"/>
      <c r="QIZ2" s="55"/>
      <c r="QJA2" s="55"/>
      <c r="QJB2" s="55"/>
      <c r="QJC2" s="55"/>
      <c r="QJD2" s="55"/>
      <c r="QJE2" s="55"/>
      <c r="QJF2" s="55"/>
      <c r="QJG2" s="55"/>
      <c r="QJH2" s="55"/>
      <c r="QJI2" s="55"/>
      <c r="QJJ2" s="55"/>
      <c r="QJK2" s="55"/>
      <c r="QJL2" s="55"/>
      <c r="QJM2" s="55"/>
      <c r="QJN2" s="55"/>
      <c r="QJO2" s="55"/>
      <c r="QJP2" s="55"/>
      <c r="QJQ2" s="55"/>
      <c r="QJR2" s="55"/>
      <c r="QJS2" s="55"/>
      <c r="QJT2" s="55"/>
      <c r="QJU2" s="55"/>
      <c r="QJV2" s="55"/>
      <c r="QJW2" s="55"/>
      <c r="QJX2" s="55"/>
      <c r="QJY2" s="55"/>
      <c r="QJZ2" s="55"/>
      <c r="QKA2" s="55"/>
      <c r="QKB2" s="55"/>
      <c r="QKC2" s="55"/>
      <c r="QKD2" s="55"/>
      <c r="QKE2" s="55"/>
      <c r="QKF2" s="55"/>
      <c r="QKG2" s="55"/>
      <c r="QKH2" s="55"/>
      <c r="QKI2" s="55"/>
      <c r="QKJ2" s="55"/>
      <c r="QKK2" s="55"/>
      <c r="QKL2" s="55"/>
      <c r="QKM2" s="55"/>
      <c r="QKN2" s="55"/>
      <c r="QKO2" s="55"/>
      <c r="QKP2" s="55"/>
      <c r="QKQ2" s="55"/>
      <c r="QKR2" s="55"/>
      <c r="QKS2" s="55"/>
      <c r="QKT2" s="55"/>
      <c r="QKU2" s="55"/>
      <c r="QKV2" s="55"/>
      <c r="QKW2" s="55"/>
      <c r="QKX2" s="55"/>
      <c r="QKY2" s="55"/>
      <c r="QKZ2" s="55"/>
      <c r="QLA2" s="55"/>
      <c r="QLB2" s="55"/>
      <c r="QLC2" s="55"/>
      <c r="QLD2" s="55"/>
      <c r="QLE2" s="55"/>
      <c r="QLF2" s="55"/>
      <c r="QLG2" s="55"/>
      <c r="QLH2" s="55"/>
      <c r="QLI2" s="55"/>
      <c r="QLJ2" s="55"/>
      <c r="QLK2" s="55"/>
      <c r="QLL2" s="55"/>
      <c r="QLM2" s="55"/>
      <c r="QLN2" s="55"/>
      <c r="QLO2" s="55"/>
      <c r="QLP2" s="55"/>
      <c r="QLQ2" s="55"/>
      <c r="QLR2" s="55"/>
      <c r="QLS2" s="55"/>
      <c r="QLT2" s="55"/>
      <c r="QLU2" s="55"/>
      <c r="QLV2" s="55"/>
      <c r="QLW2" s="55"/>
      <c r="QLX2" s="55"/>
      <c r="QLY2" s="55"/>
      <c r="QLZ2" s="55"/>
      <c r="QMA2" s="55"/>
      <c r="QMB2" s="55"/>
      <c r="QMC2" s="55"/>
      <c r="QMD2" s="55"/>
      <c r="QME2" s="55"/>
      <c r="QMF2" s="55"/>
      <c r="QMG2" s="55"/>
      <c r="QMH2" s="55"/>
      <c r="QMI2" s="55"/>
      <c r="QMJ2" s="55"/>
      <c r="QMK2" s="55"/>
      <c r="QML2" s="55"/>
      <c r="QMM2" s="55"/>
      <c r="QMN2" s="55"/>
      <c r="QMO2" s="55"/>
      <c r="QMP2" s="55"/>
      <c r="QMQ2" s="55"/>
      <c r="QMR2" s="55"/>
      <c r="QMS2" s="55"/>
      <c r="QMT2" s="55"/>
      <c r="QMU2" s="55"/>
      <c r="QMV2" s="55"/>
      <c r="QMW2" s="55"/>
      <c r="QMX2" s="55"/>
      <c r="QMY2" s="55"/>
      <c r="QMZ2" s="55"/>
      <c r="QNA2" s="55"/>
      <c r="QNB2" s="55"/>
      <c r="QNC2" s="55"/>
      <c r="QND2" s="55"/>
      <c r="QNE2" s="55"/>
      <c r="QNF2" s="55"/>
      <c r="QNG2" s="55"/>
      <c r="QNH2" s="55"/>
      <c r="QNI2" s="55"/>
      <c r="QNJ2" s="55"/>
      <c r="QNK2" s="55"/>
      <c r="QNL2" s="55"/>
      <c r="QNM2" s="55"/>
      <c r="QNN2" s="55"/>
      <c r="QNO2" s="55"/>
      <c r="QNP2" s="55"/>
      <c r="QNQ2" s="55"/>
      <c r="QNR2" s="55"/>
      <c r="QNS2" s="55"/>
      <c r="QNT2" s="55"/>
      <c r="QNU2" s="55"/>
      <c r="QNV2" s="55"/>
      <c r="QNW2" s="55"/>
      <c r="QNX2" s="55"/>
      <c r="QNY2" s="55"/>
      <c r="QNZ2" s="55"/>
      <c r="QOA2" s="55"/>
      <c r="QOB2" s="55"/>
      <c r="QOC2" s="55"/>
      <c r="QOD2" s="55"/>
      <c r="QOE2" s="55"/>
      <c r="QOF2" s="55"/>
      <c r="QOG2" s="55"/>
      <c r="QOH2" s="55"/>
      <c r="QOI2" s="55"/>
      <c r="QOJ2" s="55"/>
      <c r="QOK2" s="55"/>
      <c r="QOL2" s="55"/>
      <c r="QOM2" s="55"/>
      <c r="QON2" s="55"/>
      <c r="QOO2" s="55"/>
      <c r="QOP2" s="55"/>
      <c r="QOQ2" s="55"/>
      <c r="QOR2" s="55"/>
      <c r="QOS2" s="55"/>
      <c r="QOT2" s="55"/>
      <c r="QOU2" s="55"/>
      <c r="QOV2" s="55"/>
      <c r="QOW2" s="55"/>
      <c r="QOX2" s="55"/>
      <c r="QOY2" s="55"/>
      <c r="QOZ2" s="55"/>
      <c r="QPA2" s="55"/>
      <c r="QPB2" s="55"/>
      <c r="QPC2" s="55"/>
      <c r="QPD2" s="55"/>
      <c r="QPE2" s="55"/>
      <c r="QPF2" s="55"/>
      <c r="QPG2" s="55"/>
      <c r="QPH2" s="55"/>
      <c r="QPI2" s="55"/>
      <c r="QPJ2" s="55"/>
      <c r="QPK2" s="55"/>
      <c r="QPL2" s="55"/>
      <c r="QPM2" s="55"/>
      <c r="QPN2" s="55"/>
      <c r="QPO2" s="55"/>
      <c r="QPP2" s="55"/>
      <c r="QPQ2" s="55"/>
      <c r="QPR2" s="55"/>
      <c r="QPS2" s="55"/>
      <c r="QPT2" s="55"/>
      <c r="QPU2" s="55"/>
      <c r="QPV2" s="55"/>
      <c r="QPW2" s="55"/>
      <c r="QPX2" s="55"/>
      <c r="QPY2" s="55"/>
      <c r="QPZ2" s="55"/>
      <c r="QQA2" s="55"/>
      <c r="QQB2" s="55"/>
      <c r="QQC2" s="55"/>
      <c r="QQD2" s="55"/>
      <c r="QQE2" s="55"/>
      <c r="QQF2" s="55"/>
      <c r="QQG2" s="55"/>
      <c r="QQH2" s="55"/>
      <c r="QQI2" s="55"/>
      <c r="QQJ2" s="55"/>
      <c r="QQK2" s="55"/>
      <c r="QQL2" s="55"/>
      <c r="QQM2" s="55"/>
      <c r="QQN2" s="55"/>
      <c r="QQO2" s="55"/>
      <c r="QQP2" s="55"/>
      <c r="QQQ2" s="55"/>
      <c r="QQR2" s="55"/>
      <c r="QQS2" s="55"/>
      <c r="QQT2" s="55"/>
      <c r="QQU2" s="55"/>
      <c r="QQV2" s="55"/>
      <c r="QQW2" s="55"/>
      <c r="QQX2" s="55"/>
      <c r="QQY2" s="55"/>
      <c r="QQZ2" s="55"/>
      <c r="QRA2" s="55"/>
      <c r="QRB2" s="55"/>
      <c r="QRC2" s="55"/>
      <c r="QRD2" s="55"/>
      <c r="QRE2" s="55"/>
      <c r="QRF2" s="55"/>
      <c r="QRG2" s="55"/>
      <c r="QRH2" s="55"/>
      <c r="QRI2" s="55"/>
      <c r="QRJ2" s="55"/>
      <c r="QRK2" s="55"/>
      <c r="QRL2" s="55"/>
      <c r="QRM2" s="55"/>
      <c r="QRN2" s="55"/>
      <c r="QRO2" s="55"/>
      <c r="QRP2" s="55"/>
      <c r="QRQ2" s="55"/>
      <c r="QRR2" s="55"/>
      <c r="QRS2" s="55"/>
      <c r="QRT2" s="55"/>
      <c r="QRU2" s="55"/>
      <c r="QRV2" s="55"/>
      <c r="QRW2" s="55"/>
      <c r="QRX2" s="55"/>
      <c r="QRY2" s="55"/>
      <c r="QRZ2" s="55"/>
      <c r="QSA2" s="55"/>
      <c r="QSB2" s="55"/>
      <c r="QSC2" s="55"/>
      <c r="QSD2" s="55"/>
      <c r="QSE2" s="55"/>
      <c r="QSF2" s="55"/>
      <c r="QSG2" s="55"/>
      <c r="QSH2" s="55"/>
      <c r="QSI2" s="55"/>
      <c r="QSJ2" s="55"/>
      <c r="QSK2" s="55"/>
      <c r="QSL2" s="55"/>
      <c r="QSM2" s="55"/>
      <c r="QSN2" s="55"/>
      <c r="QSO2" s="55"/>
      <c r="QSP2" s="55"/>
      <c r="QSQ2" s="55"/>
      <c r="QSR2" s="55"/>
      <c r="QSS2" s="55"/>
      <c r="QST2" s="55"/>
      <c r="QSU2" s="55"/>
      <c r="QSV2" s="55"/>
      <c r="QSW2" s="55"/>
      <c r="QSX2" s="55"/>
      <c r="QSY2" s="55"/>
      <c r="QSZ2" s="55"/>
      <c r="QTA2" s="55"/>
      <c r="QTB2" s="55"/>
      <c r="QTC2" s="55"/>
      <c r="QTD2" s="55"/>
      <c r="QTE2" s="55"/>
      <c r="QTF2" s="55"/>
      <c r="QTG2" s="55"/>
      <c r="QTH2" s="55"/>
      <c r="QTI2" s="55"/>
      <c r="QTJ2" s="55"/>
      <c r="QTK2" s="55"/>
      <c r="QTL2" s="55"/>
      <c r="QTM2" s="55"/>
      <c r="QTN2" s="55"/>
      <c r="QTO2" s="55"/>
      <c r="QTP2" s="55"/>
      <c r="QTQ2" s="55"/>
      <c r="QTR2" s="55"/>
      <c r="QTS2" s="55"/>
      <c r="QTT2" s="55"/>
      <c r="QTU2" s="55"/>
      <c r="QTV2" s="55"/>
      <c r="QTW2" s="55"/>
      <c r="QTX2" s="55"/>
      <c r="QTY2" s="55"/>
      <c r="QTZ2" s="55"/>
      <c r="QUA2" s="55"/>
      <c r="QUB2" s="55"/>
      <c r="QUC2" s="55"/>
      <c r="QUD2" s="55"/>
      <c r="QUE2" s="55"/>
      <c r="QUF2" s="55"/>
      <c r="QUG2" s="55"/>
      <c r="QUH2" s="55"/>
      <c r="QUI2" s="55"/>
      <c r="QUJ2" s="55"/>
      <c r="QUK2" s="55"/>
      <c r="QUL2" s="55"/>
      <c r="QUM2" s="55"/>
      <c r="QUN2" s="55"/>
      <c r="QUO2" s="55"/>
      <c r="QUP2" s="55"/>
      <c r="QUQ2" s="55"/>
      <c r="QUR2" s="55"/>
      <c r="QUS2" s="55"/>
      <c r="QUT2" s="55"/>
      <c r="QUU2" s="55"/>
      <c r="QUV2" s="55"/>
      <c r="QUW2" s="55"/>
      <c r="QUX2" s="55"/>
      <c r="QUY2" s="55"/>
      <c r="QUZ2" s="55"/>
      <c r="QVA2" s="55"/>
      <c r="QVB2" s="55"/>
      <c r="QVC2" s="55"/>
      <c r="QVD2" s="55"/>
      <c r="QVE2" s="55"/>
      <c r="QVF2" s="55"/>
      <c r="QVG2" s="55"/>
      <c r="QVH2" s="55"/>
      <c r="QVI2" s="55"/>
      <c r="QVJ2" s="55"/>
      <c r="QVK2" s="55"/>
      <c r="QVL2" s="55"/>
      <c r="QVM2" s="55"/>
      <c r="QVN2" s="55"/>
      <c r="QVO2" s="55"/>
      <c r="QVP2" s="55"/>
      <c r="QVQ2" s="55"/>
      <c r="QVR2" s="55"/>
      <c r="QVS2" s="55"/>
      <c r="QVT2" s="55"/>
      <c r="QVU2" s="55"/>
      <c r="QVV2" s="55"/>
      <c r="QVW2" s="55"/>
      <c r="QVX2" s="55"/>
      <c r="QVY2" s="55"/>
      <c r="QVZ2" s="55"/>
      <c r="QWA2" s="55"/>
      <c r="QWB2" s="55"/>
      <c r="QWC2" s="55"/>
      <c r="QWD2" s="55"/>
      <c r="QWE2" s="55"/>
      <c r="QWF2" s="55"/>
      <c r="QWG2" s="55"/>
      <c r="QWH2" s="55"/>
      <c r="QWI2" s="55"/>
      <c r="QWJ2" s="55"/>
      <c r="QWK2" s="55"/>
      <c r="QWL2" s="55"/>
      <c r="QWM2" s="55"/>
      <c r="QWN2" s="55"/>
      <c r="QWO2" s="55"/>
      <c r="QWP2" s="55"/>
      <c r="QWQ2" s="55"/>
      <c r="QWR2" s="55"/>
      <c r="QWS2" s="55"/>
      <c r="QWT2" s="55"/>
      <c r="QWU2" s="55"/>
      <c r="QWV2" s="55"/>
      <c r="QWW2" s="55"/>
      <c r="QWX2" s="55"/>
      <c r="QWY2" s="55"/>
      <c r="QWZ2" s="55"/>
      <c r="QXA2" s="55"/>
      <c r="QXB2" s="55"/>
      <c r="QXC2" s="55"/>
      <c r="QXD2" s="55"/>
      <c r="QXE2" s="55"/>
      <c r="QXF2" s="55"/>
      <c r="QXG2" s="55"/>
      <c r="QXH2" s="55"/>
      <c r="QXI2" s="55"/>
      <c r="QXJ2" s="55"/>
      <c r="QXK2" s="55"/>
      <c r="QXL2" s="55"/>
      <c r="QXM2" s="55"/>
      <c r="QXN2" s="55"/>
      <c r="QXO2" s="55"/>
      <c r="QXP2" s="55"/>
      <c r="QXQ2" s="55"/>
      <c r="QXR2" s="55"/>
      <c r="QXS2" s="55"/>
      <c r="QXT2" s="55"/>
      <c r="QXU2" s="55"/>
      <c r="QXV2" s="55"/>
      <c r="QXW2" s="55"/>
      <c r="QXX2" s="55"/>
      <c r="QXY2" s="55"/>
      <c r="QXZ2" s="55"/>
      <c r="QYA2" s="55"/>
      <c r="QYB2" s="55"/>
      <c r="QYC2" s="55"/>
      <c r="QYD2" s="55"/>
      <c r="QYE2" s="55"/>
      <c r="QYF2" s="55"/>
      <c r="QYG2" s="55"/>
      <c r="QYH2" s="55"/>
      <c r="QYI2" s="55"/>
      <c r="QYJ2" s="55"/>
      <c r="QYK2" s="55"/>
      <c r="QYL2" s="55"/>
      <c r="QYM2" s="55"/>
      <c r="QYN2" s="55"/>
      <c r="QYO2" s="55"/>
      <c r="QYP2" s="55"/>
      <c r="QYQ2" s="55"/>
      <c r="QYR2" s="55"/>
      <c r="QYS2" s="55"/>
      <c r="QYT2" s="55"/>
      <c r="QYU2" s="55"/>
      <c r="QYV2" s="55"/>
      <c r="QYW2" s="55"/>
      <c r="QYX2" s="55"/>
      <c r="QYY2" s="55"/>
      <c r="QYZ2" s="55"/>
      <c r="QZA2" s="55"/>
      <c r="QZB2" s="55"/>
      <c r="QZC2" s="55"/>
      <c r="QZD2" s="55"/>
      <c r="QZE2" s="55"/>
      <c r="QZF2" s="55"/>
      <c r="QZG2" s="55"/>
      <c r="QZH2" s="55"/>
      <c r="QZI2" s="55"/>
      <c r="QZJ2" s="55"/>
      <c r="QZK2" s="55"/>
      <c r="QZL2" s="55"/>
      <c r="QZM2" s="55"/>
      <c r="QZN2" s="55"/>
      <c r="QZO2" s="55"/>
      <c r="QZP2" s="55"/>
      <c r="QZQ2" s="55"/>
      <c r="QZR2" s="55"/>
      <c r="QZS2" s="55"/>
      <c r="QZT2" s="55"/>
      <c r="QZU2" s="55"/>
      <c r="QZV2" s="55"/>
      <c r="QZW2" s="55"/>
      <c r="QZX2" s="55"/>
      <c r="QZY2" s="55"/>
      <c r="QZZ2" s="55"/>
      <c r="RAA2" s="55"/>
      <c r="RAB2" s="55"/>
      <c r="RAC2" s="55"/>
      <c r="RAD2" s="55"/>
      <c r="RAE2" s="55"/>
      <c r="RAF2" s="55"/>
      <c r="RAG2" s="55"/>
      <c r="RAH2" s="55"/>
      <c r="RAI2" s="55"/>
      <c r="RAJ2" s="55"/>
      <c r="RAK2" s="55"/>
      <c r="RAL2" s="55"/>
      <c r="RAM2" s="55"/>
      <c r="RAN2" s="55"/>
      <c r="RAO2" s="55"/>
      <c r="RAP2" s="55"/>
      <c r="RAQ2" s="55"/>
      <c r="RAR2" s="55"/>
      <c r="RAS2" s="55"/>
      <c r="RAT2" s="55"/>
      <c r="RAU2" s="55"/>
      <c r="RAV2" s="55"/>
      <c r="RAW2" s="55"/>
      <c r="RAX2" s="55"/>
      <c r="RAY2" s="55"/>
      <c r="RAZ2" s="55"/>
      <c r="RBA2" s="55"/>
      <c r="RBB2" s="55"/>
      <c r="RBC2" s="55"/>
      <c r="RBD2" s="55"/>
      <c r="RBE2" s="55"/>
      <c r="RBF2" s="55"/>
      <c r="RBG2" s="55"/>
      <c r="RBH2" s="55"/>
      <c r="RBI2" s="55"/>
      <c r="RBJ2" s="55"/>
      <c r="RBK2" s="55"/>
      <c r="RBL2" s="55"/>
      <c r="RBM2" s="55"/>
      <c r="RBN2" s="55"/>
      <c r="RBO2" s="55"/>
      <c r="RBP2" s="55"/>
      <c r="RBQ2" s="55"/>
      <c r="RBR2" s="55"/>
      <c r="RBS2" s="55"/>
      <c r="RBT2" s="55"/>
      <c r="RBU2" s="55"/>
      <c r="RBV2" s="55"/>
      <c r="RBW2" s="55"/>
      <c r="RBX2" s="55"/>
      <c r="RBY2" s="55"/>
      <c r="RBZ2" s="55"/>
      <c r="RCA2" s="55"/>
      <c r="RCB2" s="55"/>
      <c r="RCC2" s="55"/>
      <c r="RCD2" s="55"/>
      <c r="RCE2" s="55"/>
      <c r="RCF2" s="55"/>
      <c r="RCG2" s="55"/>
      <c r="RCH2" s="55"/>
      <c r="RCI2" s="55"/>
      <c r="RCJ2" s="55"/>
      <c r="RCK2" s="55"/>
      <c r="RCL2" s="55"/>
      <c r="RCM2" s="55"/>
      <c r="RCN2" s="55"/>
      <c r="RCO2" s="55"/>
      <c r="RCP2" s="55"/>
      <c r="RCQ2" s="55"/>
      <c r="RCR2" s="55"/>
      <c r="RCS2" s="55"/>
      <c r="RCT2" s="55"/>
      <c r="RCU2" s="55"/>
      <c r="RCV2" s="55"/>
      <c r="RCW2" s="55"/>
      <c r="RCX2" s="55"/>
      <c r="RCY2" s="55"/>
      <c r="RCZ2" s="55"/>
      <c r="RDA2" s="55"/>
      <c r="RDB2" s="55"/>
      <c r="RDC2" s="55"/>
      <c r="RDD2" s="55"/>
      <c r="RDE2" s="55"/>
      <c r="RDF2" s="55"/>
      <c r="RDG2" s="55"/>
      <c r="RDH2" s="55"/>
      <c r="RDI2" s="55"/>
      <c r="RDJ2" s="55"/>
      <c r="RDK2" s="55"/>
      <c r="RDL2" s="55"/>
      <c r="RDM2" s="55"/>
      <c r="RDN2" s="55"/>
      <c r="RDO2" s="55"/>
      <c r="RDP2" s="55"/>
      <c r="RDQ2" s="55"/>
      <c r="RDR2" s="55"/>
      <c r="RDS2" s="55"/>
      <c r="RDT2" s="55"/>
      <c r="RDU2" s="55"/>
      <c r="RDV2" s="55"/>
      <c r="RDW2" s="55"/>
      <c r="RDX2" s="55"/>
      <c r="RDY2" s="55"/>
      <c r="RDZ2" s="55"/>
      <c r="REA2" s="55"/>
      <c r="REB2" s="55"/>
      <c r="REC2" s="55"/>
      <c r="RED2" s="55"/>
      <c r="REE2" s="55"/>
      <c r="REF2" s="55"/>
      <c r="REG2" s="55"/>
      <c r="REH2" s="55"/>
      <c r="REI2" s="55"/>
      <c r="REJ2" s="55"/>
      <c r="REK2" s="55"/>
      <c r="REL2" s="55"/>
      <c r="REM2" s="55"/>
      <c r="REN2" s="55"/>
      <c r="REO2" s="55"/>
      <c r="REP2" s="55"/>
      <c r="REQ2" s="55"/>
      <c r="RER2" s="55"/>
      <c r="RES2" s="55"/>
      <c r="RET2" s="55"/>
      <c r="REU2" s="55"/>
      <c r="REV2" s="55"/>
      <c r="REW2" s="55"/>
      <c r="REX2" s="55"/>
      <c r="REY2" s="55"/>
      <c r="REZ2" s="55"/>
      <c r="RFA2" s="55"/>
      <c r="RFB2" s="55"/>
      <c r="RFC2" s="55"/>
      <c r="RFD2" s="55"/>
      <c r="RFE2" s="55"/>
      <c r="RFF2" s="55"/>
      <c r="RFG2" s="55"/>
      <c r="RFH2" s="55"/>
      <c r="RFI2" s="55"/>
      <c r="RFJ2" s="55"/>
      <c r="RFK2" s="55"/>
      <c r="RFL2" s="55"/>
      <c r="RFM2" s="55"/>
      <c r="RFN2" s="55"/>
      <c r="RFO2" s="55"/>
      <c r="RFP2" s="55"/>
      <c r="RFQ2" s="55"/>
      <c r="RFR2" s="55"/>
      <c r="RFS2" s="55"/>
      <c r="RFT2" s="55"/>
      <c r="RFU2" s="55"/>
      <c r="RFV2" s="55"/>
      <c r="RFW2" s="55"/>
      <c r="RFX2" s="55"/>
      <c r="RFY2" s="55"/>
      <c r="RFZ2" s="55"/>
      <c r="RGA2" s="55"/>
      <c r="RGB2" s="55"/>
      <c r="RGC2" s="55"/>
      <c r="RGD2" s="55"/>
      <c r="RGE2" s="55"/>
      <c r="RGF2" s="55"/>
      <c r="RGG2" s="55"/>
      <c r="RGH2" s="55"/>
      <c r="RGI2" s="55"/>
      <c r="RGJ2" s="55"/>
      <c r="RGK2" s="55"/>
      <c r="RGL2" s="55"/>
      <c r="RGM2" s="55"/>
      <c r="RGN2" s="55"/>
      <c r="RGO2" s="55"/>
      <c r="RGP2" s="55"/>
      <c r="RGQ2" s="55"/>
      <c r="RGR2" s="55"/>
      <c r="RGS2" s="55"/>
      <c r="RGT2" s="55"/>
      <c r="RGU2" s="55"/>
      <c r="RGV2" s="55"/>
      <c r="RGW2" s="55"/>
      <c r="RGX2" s="55"/>
      <c r="RGY2" s="55"/>
      <c r="RGZ2" s="55"/>
      <c r="RHA2" s="55"/>
      <c r="RHB2" s="55"/>
      <c r="RHC2" s="55"/>
      <c r="RHD2" s="55"/>
      <c r="RHE2" s="55"/>
      <c r="RHF2" s="55"/>
      <c r="RHG2" s="55"/>
      <c r="RHH2" s="55"/>
      <c r="RHI2" s="55"/>
      <c r="RHJ2" s="55"/>
      <c r="RHK2" s="55"/>
      <c r="RHL2" s="55"/>
      <c r="RHM2" s="55"/>
      <c r="RHN2" s="55"/>
      <c r="RHO2" s="55"/>
      <c r="RHP2" s="55"/>
      <c r="RHQ2" s="55"/>
      <c r="RHR2" s="55"/>
      <c r="RHS2" s="55"/>
      <c r="RHT2" s="55"/>
      <c r="RHU2" s="55"/>
      <c r="RHV2" s="55"/>
      <c r="RHW2" s="55"/>
      <c r="RHX2" s="55"/>
      <c r="RHY2" s="55"/>
      <c r="RHZ2" s="55"/>
      <c r="RIA2" s="55"/>
      <c r="RIB2" s="55"/>
      <c r="RIC2" s="55"/>
      <c r="RID2" s="55"/>
      <c r="RIE2" s="55"/>
      <c r="RIF2" s="55"/>
      <c r="RIG2" s="55"/>
      <c r="RIH2" s="55"/>
      <c r="RII2" s="55"/>
      <c r="RIJ2" s="55"/>
      <c r="RIK2" s="55"/>
      <c r="RIL2" s="55"/>
      <c r="RIM2" s="55"/>
      <c r="RIN2" s="55"/>
      <c r="RIO2" s="55"/>
      <c r="RIP2" s="55"/>
      <c r="RIQ2" s="55"/>
      <c r="RIR2" s="55"/>
      <c r="RIS2" s="55"/>
      <c r="RIT2" s="55"/>
      <c r="RIU2" s="55"/>
      <c r="RIV2" s="55"/>
      <c r="RIW2" s="55"/>
      <c r="RIX2" s="55"/>
      <c r="RIY2" s="55"/>
      <c r="RIZ2" s="55"/>
      <c r="RJA2" s="55"/>
      <c r="RJB2" s="55"/>
      <c r="RJC2" s="55"/>
      <c r="RJD2" s="55"/>
      <c r="RJE2" s="55"/>
      <c r="RJF2" s="55"/>
      <c r="RJG2" s="55"/>
      <c r="RJH2" s="55"/>
      <c r="RJI2" s="55"/>
      <c r="RJJ2" s="55"/>
      <c r="RJK2" s="55"/>
      <c r="RJL2" s="55"/>
      <c r="RJM2" s="55"/>
      <c r="RJN2" s="55"/>
      <c r="RJO2" s="55"/>
      <c r="RJP2" s="55"/>
      <c r="RJQ2" s="55"/>
      <c r="RJR2" s="55"/>
      <c r="RJS2" s="55"/>
      <c r="RJT2" s="55"/>
      <c r="RJU2" s="55"/>
      <c r="RJV2" s="55"/>
      <c r="RJW2" s="55"/>
      <c r="RJX2" s="55"/>
      <c r="RJY2" s="55"/>
      <c r="RJZ2" s="55"/>
      <c r="RKA2" s="55"/>
      <c r="RKB2" s="55"/>
      <c r="RKC2" s="55"/>
      <c r="RKD2" s="55"/>
      <c r="RKE2" s="55"/>
      <c r="RKF2" s="55"/>
      <c r="RKG2" s="55"/>
      <c r="RKH2" s="55"/>
      <c r="RKI2" s="55"/>
      <c r="RKJ2" s="55"/>
      <c r="RKK2" s="55"/>
      <c r="RKL2" s="55"/>
      <c r="RKM2" s="55"/>
      <c r="RKN2" s="55"/>
      <c r="RKO2" s="55"/>
      <c r="RKP2" s="55"/>
      <c r="RKQ2" s="55"/>
      <c r="RKR2" s="55"/>
      <c r="RKS2" s="55"/>
      <c r="RKT2" s="55"/>
      <c r="RKU2" s="55"/>
      <c r="RKV2" s="55"/>
      <c r="RKW2" s="55"/>
      <c r="RKX2" s="55"/>
      <c r="RKY2" s="55"/>
      <c r="RKZ2" s="55"/>
      <c r="RLA2" s="55"/>
      <c r="RLB2" s="55"/>
      <c r="RLC2" s="55"/>
      <c r="RLD2" s="55"/>
      <c r="RLE2" s="55"/>
      <c r="RLF2" s="55"/>
      <c r="RLG2" s="55"/>
      <c r="RLH2" s="55"/>
      <c r="RLI2" s="55"/>
      <c r="RLJ2" s="55"/>
      <c r="RLK2" s="55"/>
      <c r="RLL2" s="55"/>
      <c r="RLM2" s="55"/>
      <c r="RLN2" s="55"/>
      <c r="RLO2" s="55"/>
      <c r="RLP2" s="55"/>
      <c r="RLQ2" s="55"/>
      <c r="RLR2" s="55"/>
      <c r="RLS2" s="55"/>
      <c r="RLT2" s="55"/>
      <c r="RLU2" s="55"/>
      <c r="RLV2" s="55"/>
      <c r="RLW2" s="55"/>
      <c r="RLX2" s="55"/>
      <c r="RLY2" s="55"/>
      <c r="RLZ2" s="55"/>
      <c r="RMA2" s="55"/>
      <c r="RMB2" s="55"/>
      <c r="RMC2" s="55"/>
      <c r="RMD2" s="55"/>
      <c r="RME2" s="55"/>
      <c r="RMF2" s="55"/>
      <c r="RMG2" s="55"/>
      <c r="RMH2" s="55"/>
      <c r="RMI2" s="55"/>
      <c r="RMJ2" s="55"/>
      <c r="RMK2" s="55"/>
      <c r="RML2" s="55"/>
      <c r="RMM2" s="55"/>
      <c r="RMN2" s="55"/>
      <c r="RMO2" s="55"/>
      <c r="RMP2" s="55"/>
      <c r="RMQ2" s="55"/>
      <c r="RMR2" s="55"/>
      <c r="RMS2" s="55"/>
      <c r="RMT2" s="55"/>
      <c r="RMU2" s="55"/>
      <c r="RMV2" s="55"/>
      <c r="RMW2" s="55"/>
      <c r="RMX2" s="55"/>
      <c r="RMY2" s="55"/>
      <c r="RMZ2" s="55"/>
      <c r="RNA2" s="55"/>
      <c r="RNB2" s="55"/>
      <c r="RNC2" s="55"/>
      <c r="RND2" s="55"/>
      <c r="RNE2" s="55"/>
      <c r="RNF2" s="55"/>
      <c r="RNG2" s="55"/>
      <c r="RNH2" s="55"/>
      <c r="RNI2" s="55"/>
      <c r="RNJ2" s="55"/>
      <c r="RNK2" s="55"/>
      <c r="RNL2" s="55"/>
      <c r="RNM2" s="55"/>
      <c r="RNN2" s="55"/>
      <c r="RNO2" s="55"/>
      <c r="RNP2" s="55"/>
      <c r="RNQ2" s="55"/>
      <c r="RNR2" s="55"/>
      <c r="RNS2" s="55"/>
      <c r="RNT2" s="55"/>
      <c r="RNU2" s="55"/>
      <c r="RNV2" s="55"/>
      <c r="RNW2" s="55"/>
      <c r="RNX2" s="55"/>
      <c r="RNY2" s="55"/>
      <c r="RNZ2" s="55"/>
      <c r="ROA2" s="55"/>
      <c r="ROB2" s="55"/>
      <c r="ROC2" s="55"/>
      <c r="ROD2" s="55"/>
      <c r="ROE2" s="55"/>
      <c r="ROF2" s="55"/>
      <c r="ROG2" s="55"/>
      <c r="ROH2" s="55"/>
      <c r="ROI2" s="55"/>
      <c r="ROJ2" s="55"/>
      <c r="ROK2" s="55"/>
      <c r="ROL2" s="55"/>
      <c r="ROM2" s="55"/>
      <c r="RON2" s="55"/>
      <c r="ROO2" s="55"/>
      <c r="ROP2" s="55"/>
      <c r="ROQ2" s="55"/>
      <c r="ROR2" s="55"/>
      <c r="ROS2" s="55"/>
      <c r="ROT2" s="55"/>
      <c r="ROU2" s="55"/>
      <c r="ROV2" s="55"/>
      <c r="ROW2" s="55"/>
      <c r="ROX2" s="55"/>
      <c r="ROY2" s="55"/>
      <c r="ROZ2" s="55"/>
      <c r="RPA2" s="55"/>
      <c r="RPB2" s="55"/>
      <c r="RPC2" s="55"/>
      <c r="RPD2" s="55"/>
      <c r="RPE2" s="55"/>
      <c r="RPF2" s="55"/>
      <c r="RPG2" s="55"/>
      <c r="RPH2" s="55"/>
      <c r="RPI2" s="55"/>
      <c r="RPJ2" s="55"/>
      <c r="RPK2" s="55"/>
      <c r="RPL2" s="55"/>
      <c r="RPM2" s="55"/>
      <c r="RPN2" s="55"/>
      <c r="RPO2" s="55"/>
      <c r="RPP2" s="55"/>
      <c r="RPQ2" s="55"/>
      <c r="RPR2" s="55"/>
      <c r="RPS2" s="55"/>
      <c r="RPT2" s="55"/>
      <c r="RPU2" s="55"/>
      <c r="RPV2" s="55"/>
      <c r="RPW2" s="55"/>
      <c r="RPX2" s="55"/>
      <c r="RPY2" s="55"/>
      <c r="RPZ2" s="55"/>
      <c r="RQA2" s="55"/>
      <c r="RQB2" s="55"/>
      <c r="RQC2" s="55"/>
      <c r="RQD2" s="55"/>
      <c r="RQE2" s="55"/>
      <c r="RQF2" s="55"/>
      <c r="RQG2" s="55"/>
      <c r="RQH2" s="55"/>
      <c r="RQI2" s="55"/>
      <c r="RQJ2" s="55"/>
      <c r="RQK2" s="55"/>
      <c r="RQL2" s="55"/>
      <c r="RQM2" s="55"/>
      <c r="RQN2" s="55"/>
      <c r="RQO2" s="55"/>
      <c r="RQP2" s="55"/>
      <c r="RQQ2" s="55"/>
      <c r="RQR2" s="55"/>
      <c r="RQS2" s="55"/>
      <c r="RQT2" s="55"/>
      <c r="RQU2" s="55"/>
      <c r="RQV2" s="55"/>
      <c r="RQW2" s="55"/>
      <c r="RQX2" s="55"/>
      <c r="RQY2" s="55"/>
      <c r="RQZ2" s="55"/>
      <c r="RRA2" s="55"/>
      <c r="RRB2" s="55"/>
      <c r="RRC2" s="55"/>
      <c r="RRD2" s="55"/>
      <c r="RRE2" s="55"/>
      <c r="RRF2" s="55"/>
      <c r="RRG2" s="55"/>
      <c r="RRH2" s="55"/>
      <c r="RRI2" s="55"/>
      <c r="RRJ2" s="55"/>
      <c r="RRK2" s="55"/>
      <c r="RRL2" s="55"/>
      <c r="RRM2" s="55"/>
      <c r="RRN2" s="55"/>
      <c r="RRO2" s="55"/>
      <c r="RRP2" s="55"/>
      <c r="RRQ2" s="55"/>
      <c r="RRR2" s="55"/>
      <c r="RRS2" s="55"/>
      <c r="RRT2" s="55"/>
      <c r="RRU2" s="55"/>
      <c r="RRV2" s="55"/>
      <c r="RRW2" s="55"/>
      <c r="RRX2" s="55"/>
      <c r="RRY2" s="55"/>
      <c r="RRZ2" s="55"/>
      <c r="RSA2" s="55"/>
      <c r="RSB2" s="55"/>
      <c r="RSC2" s="55"/>
      <c r="RSD2" s="55"/>
      <c r="RSE2" s="55"/>
      <c r="RSF2" s="55"/>
      <c r="RSG2" s="55"/>
      <c r="RSH2" s="55"/>
      <c r="RSI2" s="55"/>
      <c r="RSJ2" s="55"/>
      <c r="RSK2" s="55"/>
      <c r="RSL2" s="55"/>
      <c r="RSM2" s="55"/>
      <c r="RSN2" s="55"/>
      <c r="RSO2" s="55"/>
      <c r="RSP2" s="55"/>
      <c r="RSQ2" s="55"/>
      <c r="RSR2" s="55"/>
      <c r="RSS2" s="55"/>
      <c r="RST2" s="55"/>
      <c r="RSU2" s="55"/>
      <c r="RSV2" s="55"/>
      <c r="RSW2" s="55"/>
      <c r="RSX2" s="55"/>
      <c r="RSY2" s="55"/>
      <c r="RSZ2" s="55"/>
      <c r="RTA2" s="55"/>
      <c r="RTB2" s="55"/>
      <c r="RTC2" s="55"/>
      <c r="RTD2" s="55"/>
      <c r="RTE2" s="55"/>
      <c r="RTF2" s="55"/>
      <c r="RTG2" s="55"/>
      <c r="RTH2" s="55"/>
      <c r="RTI2" s="55"/>
      <c r="RTJ2" s="55"/>
      <c r="RTK2" s="55"/>
      <c r="RTL2" s="55"/>
      <c r="RTM2" s="55"/>
      <c r="RTN2" s="55"/>
      <c r="RTO2" s="55"/>
      <c r="RTP2" s="55"/>
      <c r="RTQ2" s="55"/>
      <c r="RTR2" s="55"/>
      <c r="RTS2" s="55"/>
      <c r="RTT2" s="55"/>
      <c r="RTU2" s="55"/>
      <c r="RTV2" s="55"/>
      <c r="RTW2" s="55"/>
      <c r="RTX2" s="55"/>
      <c r="RTY2" s="55"/>
      <c r="RTZ2" s="55"/>
      <c r="RUA2" s="55"/>
      <c r="RUB2" s="55"/>
      <c r="RUC2" s="55"/>
      <c r="RUD2" s="55"/>
      <c r="RUE2" s="55"/>
      <c r="RUF2" s="55"/>
      <c r="RUG2" s="55"/>
      <c r="RUH2" s="55"/>
      <c r="RUI2" s="55"/>
      <c r="RUJ2" s="55"/>
      <c r="RUK2" s="55"/>
      <c r="RUL2" s="55"/>
      <c r="RUM2" s="55"/>
      <c r="RUN2" s="55"/>
      <c r="RUO2" s="55"/>
      <c r="RUP2" s="55"/>
      <c r="RUQ2" s="55"/>
      <c r="RUR2" s="55"/>
      <c r="RUS2" s="55"/>
      <c r="RUT2" s="55"/>
      <c r="RUU2" s="55"/>
      <c r="RUV2" s="55"/>
      <c r="RUW2" s="55"/>
      <c r="RUX2" s="55"/>
      <c r="RUY2" s="55"/>
      <c r="RUZ2" s="55"/>
      <c r="RVA2" s="55"/>
      <c r="RVB2" s="55"/>
      <c r="RVC2" s="55"/>
      <c r="RVD2" s="55"/>
      <c r="RVE2" s="55"/>
      <c r="RVF2" s="55"/>
      <c r="RVG2" s="55"/>
      <c r="RVH2" s="55"/>
      <c r="RVI2" s="55"/>
      <c r="RVJ2" s="55"/>
      <c r="RVK2" s="55"/>
      <c r="RVL2" s="55"/>
      <c r="RVM2" s="55"/>
      <c r="RVN2" s="55"/>
      <c r="RVO2" s="55"/>
      <c r="RVP2" s="55"/>
      <c r="RVQ2" s="55"/>
      <c r="RVR2" s="55"/>
      <c r="RVS2" s="55"/>
      <c r="RVT2" s="55"/>
      <c r="RVU2" s="55"/>
      <c r="RVV2" s="55"/>
      <c r="RVW2" s="55"/>
      <c r="RVX2" s="55"/>
      <c r="RVY2" s="55"/>
      <c r="RVZ2" s="55"/>
      <c r="RWA2" s="55"/>
      <c r="RWB2" s="55"/>
      <c r="RWC2" s="55"/>
      <c r="RWD2" s="55"/>
      <c r="RWE2" s="55"/>
      <c r="RWF2" s="55"/>
      <c r="RWG2" s="55"/>
      <c r="RWH2" s="55"/>
      <c r="RWI2" s="55"/>
      <c r="RWJ2" s="55"/>
      <c r="RWK2" s="55"/>
      <c r="RWL2" s="55"/>
      <c r="RWM2" s="55"/>
      <c r="RWN2" s="55"/>
      <c r="RWO2" s="55"/>
      <c r="RWP2" s="55"/>
      <c r="RWQ2" s="55"/>
      <c r="RWR2" s="55"/>
      <c r="RWS2" s="55"/>
      <c r="RWT2" s="55"/>
      <c r="RWU2" s="55"/>
      <c r="RWV2" s="55"/>
      <c r="RWW2" s="55"/>
      <c r="RWX2" s="55"/>
      <c r="RWY2" s="55"/>
      <c r="RWZ2" s="55"/>
      <c r="RXA2" s="55"/>
      <c r="RXB2" s="55"/>
      <c r="RXC2" s="55"/>
      <c r="RXD2" s="55"/>
      <c r="RXE2" s="55"/>
      <c r="RXF2" s="55"/>
      <c r="RXG2" s="55"/>
      <c r="RXH2" s="55"/>
      <c r="RXI2" s="55"/>
      <c r="RXJ2" s="55"/>
      <c r="RXK2" s="55"/>
      <c r="RXL2" s="55"/>
      <c r="RXM2" s="55"/>
      <c r="RXN2" s="55"/>
      <c r="RXO2" s="55"/>
      <c r="RXP2" s="55"/>
      <c r="RXQ2" s="55"/>
      <c r="RXR2" s="55"/>
      <c r="RXS2" s="55"/>
      <c r="RXT2" s="55"/>
      <c r="RXU2" s="55"/>
      <c r="RXV2" s="55"/>
      <c r="RXW2" s="55"/>
      <c r="RXX2" s="55"/>
      <c r="RXY2" s="55"/>
      <c r="RXZ2" s="55"/>
      <c r="RYA2" s="55"/>
      <c r="RYB2" s="55"/>
      <c r="RYC2" s="55"/>
      <c r="RYD2" s="55"/>
      <c r="RYE2" s="55"/>
      <c r="RYF2" s="55"/>
      <c r="RYG2" s="55"/>
      <c r="RYH2" s="55"/>
      <c r="RYI2" s="55"/>
      <c r="RYJ2" s="55"/>
      <c r="RYK2" s="55"/>
      <c r="RYL2" s="55"/>
      <c r="RYM2" s="55"/>
      <c r="RYN2" s="55"/>
      <c r="RYO2" s="55"/>
      <c r="RYP2" s="55"/>
      <c r="RYQ2" s="55"/>
      <c r="RYR2" s="55"/>
      <c r="RYS2" s="55"/>
      <c r="RYT2" s="55"/>
      <c r="RYU2" s="55"/>
      <c r="RYV2" s="55"/>
      <c r="RYW2" s="55"/>
      <c r="RYX2" s="55"/>
      <c r="RYY2" s="55"/>
      <c r="RYZ2" s="55"/>
      <c r="RZA2" s="55"/>
      <c r="RZB2" s="55"/>
      <c r="RZC2" s="55"/>
      <c r="RZD2" s="55"/>
      <c r="RZE2" s="55"/>
      <c r="RZF2" s="55"/>
      <c r="RZG2" s="55"/>
      <c r="RZH2" s="55"/>
      <c r="RZI2" s="55"/>
      <c r="RZJ2" s="55"/>
      <c r="RZK2" s="55"/>
      <c r="RZL2" s="55"/>
      <c r="RZM2" s="55"/>
      <c r="RZN2" s="55"/>
      <c r="RZO2" s="55"/>
      <c r="RZP2" s="55"/>
      <c r="RZQ2" s="55"/>
      <c r="RZR2" s="55"/>
      <c r="RZS2" s="55"/>
      <c r="RZT2" s="55"/>
      <c r="RZU2" s="55"/>
      <c r="RZV2" s="55"/>
      <c r="RZW2" s="55"/>
      <c r="RZX2" s="55"/>
      <c r="RZY2" s="55"/>
      <c r="RZZ2" s="55"/>
      <c r="SAA2" s="55"/>
      <c r="SAB2" s="55"/>
      <c r="SAC2" s="55"/>
      <c r="SAD2" s="55"/>
      <c r="SAE2" s="55"/>
      <c r="SAF2" s="55"/>
      <c r="SAG2" s="55"/>
      <c r="SAH2" s="55"/>
      <c r="SAI2" s="55"/>
      <c r="SAJ2" s="55"/>
      <c r="SAK2" s="55"/>
      <c r="SAL2" s="55"/>
      <c r="SAM2" s="55"/>
      <c r="SAN2" s="55"/>
      <c r="SAO2" s="55"/>
      <c r="SAP2" s="55"/>
      <c r="SAQ2" s="55"/>
      <c r="SAR2" s="55"/>
      <c r="SAS2" s="55"/>
      <c r="SAT2" s="55"/>
      <c r="SAU2" s="55"/>
      <c r="SAV2" s="55"/>
      <c r="SAW2" s="55"/>
      <c r="SAX2" s="55"/>
      <c r="SAY2" s="55"/>
      <c r="SAZ2" s="55"/>
      <c r="SBA2" s="55"/>
      <c r="SBB2" s="55"/>
      <c r="SBC2" s="55"/>
      <c r="SBD2" s="55"/>
      <c r="SBE2" s="55"/>
      <c r="SBF2" s="55"/>
      <c r="SBG2" s="55"/>
      <c r="SBH2" s="55"/>
      <c r="SBI2" s="55"/>
      <c r="SBJ2" s="55"/>
      <c r="SBK2" s="55"/>
      <c r="SBL2" s="55"/>
      <c r="SBM2" s="55"/>
      <c r="SBN2" s="55"/>
      <c r="SBO2" s="55"/>
      <c r="SBP2" s="55"/>
      <c r="SBQ2" s="55"/>
      <c r="SBR2" s="55"/>
      <c r="SBS2" s="55"/>
      <c r="SBT2" s="55"/>
      <c r="SBU2" s="55"/>
      <c r="SBV2" s="55"/>
      <c r="SBW2" s="55"/>
      <c r="SBX2" s="55"/>
      <c r="SBY2" s="55"/>
      <c r="SBZ2" s="55"/>
      <c r="SCA2" s="55"/>
      <c r="SCB2" s="55"/>
      <c r="SCC2" s="55"/>
      <c r="SCD2" s="55"/>
      <c r="SCE2" s="55"/>
      <c r="SCF2" s="55"/>
      <c r="SCG2" s="55"/>
      <c r="SCH2" s="55"/>
      <c r="SCI2" s="55"/>
      <c r="SCJ2" s="55"/>
      <c r="SCK2" s="55"/>
      <c r="SCL2" s="55"/>
      <c r="SCM2" s="55"/>
      <c r="SCN2" s="55"/>
      <c r="SCO2" s="55"/>
      <c r="SCP2" s="55"/>
      <c r="SCQ2" s="55"/>
      <c r="SCR2" s="55"/>
      <c r="SCS2" s="55"/>
      <c r="SCT2" s="55"/>
      <c r="SCU2" s="55"/>
      <c r="SCV2" s="55"/>
      <c r="SCW2" s="55"/>
      <c r="SCX2" s="55"/>
      <c r="SCY2" s="55"/>
      <c r="SCZ2" s="55"/>
      <c r="SDA2" s="55"/>
      <c r="SDB2" s="55"/>
      <c r="SDC2" s="55"/>
      <c r="SDD2" s="55"/>
      <c r="SDE2" s="55"/>
      <c r="SDF2" s="55"/>
      <c r="SDG2" s="55"/>
      <c r="SDH2" s="55"/>
      <c r="SDI2" s="55"/>
      <c r="SDJ2" s="55"/>
      <c r="SDK2" s="55"/>
      <c r="SDL2" s="55"/>
      <c r="SDM2" s="55"/>
      <c r="SDN2" s="55"/>
      <c r="SDO2" s="55"/>
      <c r="SDP2" s="55"/>
      <c r="SDQ2" s="55"/>
      <c r="SDR2" s="55"/>
      <c r="SDS2" s="55"/>
      <c r="SDT2" s="55"/>
      <c r="SDU2" s="55"/>
      <c r="SDV2" s="55"/>
      <c r="SDW2" s="55"/>
      <c r="SDX2" s="55"/>
      <c r="SDY2" s="55"/>
      <c r="SDZ2" s="55"/>
      <c r="SEA2" s="55"/>
      <c r="SEB2" s="55"/>
      <c r="SEC2" s="55"/>
      <c r="SED2" s="55"/>
      <c r="SEE2" s="55"/>
      <c r="SEF2" s="55"/>
      <c r="SEG2" s="55"/>
      <c r="SEH2" s="55"/>
      <c r="SEI2" s="55"/>
      <c r="SEJ2" s="55"/>
      <c r="SEK2" s="55"/>
      <c r="SEL2" s="55"/>
      <c r="SEM2" s="55"/>
      <c r="SEN2" s="55"/>
      <c r="SEO2" s="55"/>
      <c r="SEP2" s="55"/>
      <c r="SEQ2" s="55"/>
      <c r="SER2" s="55"/>
      <c r="SES2" s="55"/>
      <c r="SET2" s="55"/>
      <c r="SEU2" s="55"/>
      <c r="SEV2" s="55"/>
      <c r="SEW2" s="55"/>
      <c r="SEX2" s="55"/>
      <c r="SEY2" s="55"/>
      <c r="SEZ2" s="55"/>
      <c r="SFA2" s="55"/>
      <c r="SFB2" s="55"/>
      <c r="SFC2" s="55"/>
      <c r="SFD2" s="55"/>
      <c r="SFE2" s="55"/>
      <c r="SFF2" s="55"/>
      <c r="SFG2" s="55"/>
      <c r="SFH2" s="55"/>
      <c r="SFI2" s="55"/>
      <c r="SFJ2" s="55"/>
      <c r="SFK2" s="55"/>
      <c r="SFL2" s="55"/>
      <c r="SFM2" s="55"/>
      <c r="SFN2" s="55"/>
      <c r="SFO2" s="55"/>
      <c r="SFP2" s="55"/>
      <c r="SFQ2" s="55"/>
      <c r="SFR2" s="55"/>
      <c r="SFS2" s="55"/>
      <c r="SFT2" s="55"/>
      <c r="SFU2" s="55"/>
      <c r="SFV2" s="55"/>
      <c r="SFW2" s="55"/>
      <c r="SFX2" s="55"/>
      <c r="SFY2" s="55"/>
      <c r="SFZ2" s="55"/>
      <c r="SGA2" s="55"/>
      <c r="SGB2" s="55"/>
      <c r="SGC2" s="55"/>
      <c r="SGD2" s="55"/>
      <c r="SGE2" s="55"/>
      <c r="SGF2" s="55"/>
      <c r="SGG2" s="55"/>
      <c r="SGH2" s="55"/>
      <c r="SGI2" s="55"/>
      <c r="SGJ2" s="55"/>
      <c r="SGK2" s="55"/>
      <c r="SGL2" s="55"/>
      <c r="SGM2" s="55"/>
      <c r="SGN2" s="55"/>
      <c r="SGO2" s="55"/>
      <c r="SGP2" s="55"/>
      <c r="SGQ2" s="55"/>
      <c r="SGR2" s="55"/>
      <c r="SGS2" s="55"/>
      <c r="SGT2" s="55"/>
      <c r="SGU2" s="55"/>
      <c r="SGV2" s="55"/>
      <c r="SGW2" s="55"/>
      <c r="SGX2" s="55"/>
      <c r="SGY2" s="55"/>
      <c r="SGZ2" s="55"/>
      <c r="SHA2" s="55"/>
      <c r="SHB2" s="55"/>
      <c r="SHC2" s="55"/>
      <c r="SHD2" s="55"/>
      <c r="SHE2" s="55"/>
      <c r="SHF2" s="55"/>
      <c r="SHG2" s="55"/>
      <c r="SHH2" s="55"/>
      <c r="SHI2" s="55"/>
      <c r="SHJ2" s="55"/>
      <c r="SHK2" s="55"/>
      <c r="SHL2" s="55"/>
      <c r="SHM2" s="55"/>
      <c r="SHN2" s="55"/>
      <c r="SHO2" s="55"/>
      <c r="SHP2" s="55"/>
      <c r="SHQ2" s="55"/>
      <c r="SHR2" s="55"/>
      <c r="SHS2" s="55"/>
      <c r="SHT2" s="55"/>
      <c r="SHU2" s="55"/>
      <c r="SHV2" s="55"/>
      <c r="SHW2" s="55"/>
      <c r="SHX2" s="55"/>
      <c r="SHY2" s="55"/>
      <c r="SHZ2" s="55"/>
      <c r="SIA2" s="55"/>
      <c r="SIB2" s="55"/>
      <c r="SIC2" s="55"/>
      <c r="SID2" s="55"/>
      <c r="SIE2" s="55"/>
      <c r="SIF2" s="55"/>
      <c r="SIG2" s="55"/>
      <c r="SIH2" s="55"/>
      <c r="SII2" s="55"/>
      <c r="SIJ2" s="55"/>
      <c r="SIK2" s="55"/>
      <c r="SIL2" s="55"/>
      <c r="SIM2" s="55"/>
      <c r="SIN2" s="55"/>
      <c r="SIO2" s="55"/>
      <c r="SIP2" s="55"/>
      <c r="SIQ2" s="55"/>
      <c r="SIR2" s="55"/>
      <c r="SIS2" s="55"/>
      <c r="SIT2" s="55"/>
      <c r="SIU2" s="55"/>
      <c r="SIV2" s="55"/>
      <c r="SIW2" s="55"/>
      <c r="SIX2" s="55"/>
      <c r="SIY2" s="55"/>
      <c r="SIZ2" s="55"/>
      <c r="SJA2" s="55"/>
      <c r="SJB2" s="55"/>
      <c r="SJC2" s="55"/>
      <c r="SJD2" s="55"/>
      <c r="SJE2" s="55"/>
      <c r="SJF2" s="55"/>
      <c r="SJG2" s="55"/>
      <c r="SJH2" s="55"/>
      <c r="SJI2" s="55"/>
      <c r="SJJ2" s="55"/>
      <c r="SJK2" s="55"/>
      <c r="SJL2" s="55"/>
      <c r="SJM2" s="55"/>
      <c r="SJN2" s="55"/>
      <c r="SJO2" s="55"/>
      <c r="SJP2" s="55"/>
      <c r="SJQ2" s="55"/>
      <c r="SJR2" s="55"/>
      <c r="SJS2" s="55"/>
      <c r="SJT2" s="55"/>
      <c r="SJU2" s="55"/>
      <c r="SJV2" s="55"/>
      <c r="SJW2" s="55"/>
      <c r="SJX2" s="55"/>
      <c r="SJY2" s="55"/>
      <c r="SJZ2" s="55"/>
      <c r="SKA2" s="55"/>
      <c r="SKB2" s="55"/>
      <c r="SKC2" s="55"/>
      <c r="SKD2" s="55"/>
      <c r="SKE2" s="55"/>
      <c r="SKF2" s="55"/>
      <c r="SKG2" s="55"/>
      <c r="SKH2" s="55"/>
      <c r="SKI2" s="55"/>
      <c r="SKJ2" s="55"/>
      <c r="SKK2" s="55"/>
      <c r="SKL2" s="55"/>
      <c r="SKM2" s="55"/>
      <c r="SKN2" s="55"/>
      <c r="SKO2" s="55"/>
      <c r="SKP2" s="55"/>
      <c r="SKQ2" s="55"/>
      <c r="SKR2" s="55"/>
      <c r="SKS2" s="55"/>
      <c r="SKT2" s="55"/>
      <c r="SKU2" s="55"/>
      <c r="SKV2" s="55"/>
      <c r="SKW2" s="55"/>
      <c r="SKX2" s="55"/>
      <c r="SKY2" s="55"/>
      <c r="SKZ2" s="55"/>
      <c r="SLA2" s="55"/>
      <c r="SLB2" s="55"/>
      <c r="SLC2" s="55"/>
      <c r="SLD2" s="55"/>
      <c r="SLE2" s="55"/>
      <c r="SLF2" s="55"/>
      <c r="SLG2" s="55"/>
      <c r="SLH2" s="55"/>
      <c r="SLI2" s="55"/>
      <c r="SLJ2" s="55"/>
      <c r="SLK2" s="55"/>
      <c r="SLL2" s="55"/>
      <c r="SLM2" s="55"/>
      <c r="SLN2" s="55"/>
      <c r="SLO2" s="55"/>
      <c r="SLP2" s="55"/>
      <c r="SLQ2" s="55"/>
      <c r="SLR2" s="55"/>
      <c r="SLS2" s="55"/>
      <c r="SLT2" s="55"/>
      <c r="SLU2" s="55"/>
      <c r="SLV2" s="55"/>
      <c r="SLW2" s="55"/>
      <c r="SLX2" s="55"/>
      <c r="SLY2" s="55"/>
      <c r="SLZ2" s="55"/>
      <c r="SMA2" s="55"/>
      <c r="SMB2" s="55"/>
      <c r="SMC2" s="55"/>
      <c r="SMD2" s="55"/>
      <c r="SME2" s="55"/>
      <c r="SMF2" s="55"/>
      <c r="SMG2" s="55"/>
      <c r="SMH2" s="55"/>
      <c r="SMI2" s="55"/>
      <c r="SMJ2" s="55"/>
      <c r="SMK2" s="55"/>
      <c r="SML2" s="55"/>
      <c r="SMM2" s="55"/>
      <c r="SMN2" s="55"/>
      <c r="SMO2" s="55"/>
      <c r="SMP2" s="55"/>
      <c r="SMQ2" s="55"/>
      <c r="SMR2" s="55"/>
      <c r="SMS2" s="55"/>
      <c r="SMT2" s="55"/>
      <c r="SMU2" s="55"/>
      <c r="SMV2" s="55"/>
      <c r="SMW2" s="55"/>
      <c r="SMX2" s="55"/>
      <c r="SMY2" s="55"/>
      <c r="SMZ2" s="55"/>
      <c r="SNA2" s="55"/>
      <c r="SNB2" s="55"/>
      <c r="SNC2" s="55"/>
      <c r="SND2" s="55"/>
      <c r="SNE2" s="55"/>
      <c r="SNF2" s="55"/>
      <c r="SNG2" s="55"/>
      <c r="SNH2" s="55"/>
      <c r="SNI2" s="55"/>
      <c r="SNJ2" s="55"/>
      <c r="SNK2" s="55"/>
      <c r="SNL2" s="55"/>
      <c r="SNM2" s="55"/>
      <c r="SNN2" s="55"/>
      <c r="SNO2" s="55"/>
      <c r="SNP2" s="55"/>
      <c r="SNQ2" s="55"/>
      <c r="SNR2" s="55"/>
      <c r="SNS2" s="55"/>
      <c r="SNT2" s="55"/>
      <c r="SNU2" s="55"/>
      <c r="SNV2" s="55"/>
      <c r="SNW2" s="55"/>
      <c r="SNX2" s="55"/>
      <c r="SNY2" s="55"/>
      <c r="SNZ2" s="55"/>
      <c r="SOA2" s="55"/>
      <c r="SOB2" s="55"/>
      <c r="SOC2" s="55"/>
      <c r="SOD2" s="55"/>
      <c r="SOE2" s="55"/>
      <c r="SOF2" s="55"/>
      <c r="SOG2" s="55"/>
      <c r="SOH2" s="55"/>
      <c r="SOI2" s="55"/>
      <c r="SOJ2" s="55"/>
      <c r="SOK2" s="55"/>
      <c r="SOL2" s="55"/>
      <c r="SOM2" s="55"/>
      <c r="SON2" s="55"/>
      <c r="SOO2" s="55"/>
      <c r="SOP2" s="55"/>
      <c r="SOQ2" s="55"/>
      <c r="SOR2" s="55"/>
      <c r="SOS2" s="55"/>
      <c r="SOT2" s="55"/>
      <c r="SOU2" s="55"/>
      <c r="SOV2" s="55"/>
      <c r="SOW2" s="55"/>
      <c r="SOX2" s="55"/>
      <c r="SOY2" s="55"/>
      <c r="SOZ2" s="55"/>
      <c r="SPA2" s="55"/>
      <c r="SPB2" s="55"/>
      <c r="SPC2" s="55"/>
      <c r="SPD2" s="55"/>
      <c r="SPE2" s="55"/>
      <c r="SPF2" s="55"/>
      <c r="SPG2" s="55"/>
      <c r="SPH2" s="55"/>
      <c r="SPI2" s="55"/>
      <c r="SPJ2" s="55"/>
      <c r="SPK2" s="55"/>
      <c r="SPL2" s="55"/>
      <c r="SPM2" s="55"/>
      <c r="SPN2" s="55"/>
      <c r="SPO2" s="55"/>
      <c r="SPP2" s="55"/>
      <c r="SPQ2" s="55"/>
      <c r="SPR2" s="55"/>
      <c r="SPS2" s="55"/>
      <c r="SPT2" s="55"/>
      <c r="SPU2" s="55"/>
      <c r="SPV2" s="55"/>
      <c r="SPW2" s="55"/>
      <c r="SPX2" s="55"/>
      <c r="SPY2" s="55"/>
      <c r="SPZ2" s="55"/>
      <c r="SQA2" s="55"/>
      <c r="SQB2" s="55"/>
      <c r="SQC2" s="55"/>
      <c r="SQD2" s="55"/>
      <c r="SQE2" s="55"/>
      <c r="SQF2" s="55"/>
      <c r="SQG2" s="55"/>
      <c r="SQH2" s="55"/>
      <c r="SQI2" s="55"/>
      <c r="SQJ2" s="55"/>
      <c r="SQK2" s="55"/>
      <c r="SQL2" s="55"/>
      <c r="SQM2" s="55"/>
      <c r="SQN2" s="55"/>
      <c r="SQO2" s="55"/>
      <c r="SQP2" s="55"/>
      <c r="SQQ2" s="55"/>
      <c r="SQR2" s="55"/>
      <c r="SQS2" s="55"/>
      <c r="SQT2" s="55"/>
      <c r="SQU2" s="55"/>
      <c r="SQV2" s="55"/>
      <c r="SQW2" s="55"/>
      <c r="SQX2" s="55"/>
      <c r="SQY2" s="55"/>
      <c r="SQZ2" s="55"/>
      <c r="SRA2" s="55"/>
      <c r="SRB2" s="55"/>
      <c r="SRC2" s="55"/>
      <c r="SRD2" s="55"/>
      <c r="SRE2" s="55"/>
      <c r="SRF2" s="55"/>
      <c r="SRG2" s="55"/>
      <c r="SRH2" s="55"/>
      <c r="SRI2" s="55"/>
      <c r="SRJ2" s="55"/>
      <c r="SRK2" s="55"/>
      <c r="SRL2" s="55"/>
      <c r="SRM2" s="55"/>
      <c r="SRN2" s="55"/>
      <c r="SRO2" s="55"/>
      <c r="SRP2" s="55"/>
      <c r="SRQ2" s="55"/>
      <c r="SRR2" s="55"/>
      <c r="SRS2" s="55"/>
      <c r="SRT2" s="55"/>
      <c r="SRU2" s="55"/>
      <c r="SRV2" s="55"/>
      <c r="SRW2" s="55"/>
      <c r="SRX2" s="55"/>
      <c r="SRY2" s="55"/>
      <c r="SRZ2" s="55"/>
      <c r="SSA2" s="55"/>
      <c r="SSB2" s="55"/>
      <c r="SSC2" s="55"/>
      <c r="SSD2" s="55"/>
      <c r="SSE2" s="55"/>
      <c r="SSF2" s="55"/>
      <c r="SSG2" s="55"/>
      <c r="SSH2" s="55"/>
      <c r="SSI2" s="55"/>
      <c r="SSJ2" s="55"/>
      <c r="SSK2" s="55"/>
      <c r="SSL2" s="55"/>
      <c r="SSM2" s="55"/>
      <c r="SSN2" s="55"/>
      <c r="SSO2" s="55"/>
      <c r="SSP2" s="55"/>
      <c r="SSQ2" s="55"/>
      <c r="SSR2" s="55"/>
      <c r="SSS2" s="55"/>
      <c r="SST2" s="55"/>
      <c r="SSU2" s="55"/>
      <c r="SSV2" s="55"/>
      <c r="SSW2" s="55"/>
      <c r="SSX2" s="55"/>
      <c r="SSY2" s="55"/>
      <c r="SSZ2" s="55"/>
      <c r="STA2" s="55"/>
      <c r="STB2" s="55"/>
      <c r="STC2" s="55"/>
      <c r="STD2" s="55"/>
      <c r="STE2" s="55"/>
      <c r="STF2" s="55"/>
      <c r="STG2" s="55"/>
      <c r="STH2" s="55"/>
      <c r="STI2" s="55"/>
      <c r="STJ2" s="55"/>
      <c r="STK2" s="55"/>
      <c r="STL2" s="55"/>
      <c r="STM2" s="55"/>
      <c r="STN2" s="55"/>
      <c r="STO2" s="55"/>
      <c r="STP2" s="55"/>
      <c r="STQ2" s="55"/>
      <c r="STR2" s="55"/>
      <c r="STS2" s="55"/>
      <c r="STT2" s="55"/>
      <c r="STU2" s="55"/>
      <c r="STV2" s="55"/>
      <c r="STW2" s="55"/>
      <c r="STX2" s="55"/>
      <c r="STY2" s="55"/>
      <c r="STZ2" s="55"/>
      <c r="SUA2" s="55"/>
      <c r="SUB2" s="55"/>
      <c r="SUC2" s="55"/>
      <c r="SUD2" s="55"/>
      <c r="SUE2" s="55"/>
      <c r="SUF2" s="55"/>
      <c r="SUG2" s="55"/>
      <c r="SUH2" s="55"/>
      <c r="SUI2" s="55"/>
      <c r="SUJ2" s="55"/>
      <c r="SUK2" s="55"/>
      <c r="SUL2" s="55"/>
      <c r="SUM2" s="55"/>
      <c r="SUN2" s="55"/>
      <c r="SUO2" s="55"/>
      <c r="SUP2" s="55"/>
      <c r="SUQ2" s="55"/>
      <c r="SUR2" s="55"/>
      <c r="SUS2" s="55"/>
      <c r="SUT2" s="55"/>
      <c r="SUU2" s="55"/>
      <c r="SUV2" s="55"/>
      <c r="SUW2" s="55"/>
      <c r="SUX2" s="55"/>
      <c r="SUY2" s="55"/>
      <c r="SUZ2" s="55"/>
      <c r="SVA2" s="55"/>
      <c r="SVB2" s="55"/>
      <c r="SVC2" s="55"/>
      <c r="SVD2" s="55"/>
      <c r="SVE2" s="55"/>
      <c r="SVF2" s="55"/>
      <c r="SVG2" s="55"/>
      <c r="SVH2" s="55"/>
      <c r="SVI2" s="55"/>
      <c r="SVJ2" s="55"/>
      <c r="SVK2" s="55"/>
      <c r="SVL2" s="55"/>
      <c r="SVM2" s="55"/>
      <c r="SVN2" s="55"/>
      <c r="SVO2" s="55"/>
      <c r="SVP2" s="55"/>
      <c r="SVQ2" s="55"/>
      <c r="SVR2" s="55"/>
      <c r="SVS2" s="55"/>
      <c r="SVT2" s="55"/>
      <c r="SVU2" s="55"/>
      <c r="SVV2" s="55"/>
      <c r="SVW2" s="55"/>
      <c r="SVX2" s="55"/>
      <c r="SVY2" s="55"/>
      <c r="SVZ2" s="55"/>
      <c r="SWA2" s="55"/>
      <c r="SWB2" s="55"/>
      <c r="SWC2" s="55"/>
      <c r="SWD2" s="55"/>
      <c r="SWE2" s="55"/>
      <c r="SWF2" s="55"/>
      <c r="SWG2" s="55"/>
      <c r="SWH2" s="55"/>
      <c r="SWI2" s="55"/>
      <c r="SWJ2" s="55"/>
      <c r="SWK2" s="55"/>
      <c r="SWL2" s="55"/>
      <c r="SWM2" s="55"/>
      <c r="SWN2" s="55"/>
      <c r="SWO2" s="55"/>
      <c r="SWP2" s="55"/>
      <c r="SWQ2" s="55"/>
      <c r="SWR2" s="55"/>
      <c r="SWS2" s="55"/>
      <c r="SWT2" s="55"/>
      <c r="SWU2" s="55"/>
      <c r="SWV2" s="55"/>
      <c r="SWW2" s="55"/>
      <c r="SWX2" s="55"/>
      <c r="SWY2" s="55"/>
      <c r="SWZ2" s="55"/>
      <c r="SXA2" s="55"/>
      <c r="SXB2" s="55"/>
      <c r="SXC2" s="55"/>
      <c r="SXD2" s="55"/>
      <c r="SXE2" s="55"/>
      <c r="SXF2" s="55"/>
      <c r="SXG2" s="55"/>
      <c r="SXH2" s="55"/>
      <c r="SXI2" s="55"/>
      <c r="SXJ2" s="55"/>
      <c r="SXK2" s="55"/>
      <c r="SXL2" s="55"/>
      <c r="SXM2" s="55"/>
      <c r="SXN2" s="55"/>
      <c r="SXO2" s="55"/>
      <c r="SXP2" s="55"/>
      <c r="SXQ2" s="55"/>
      <c r="SXR2" s="55"/>
      <c r="SXS2" s="55"/>
      <c r="SXT2" s="55"/>
      <c r="SXU2" s="55"/>
      <c r="SXV2" s="55"/>
      <c r="SXW2" s="55"/>
      <c r="SXX2" s="55"/>
      <c r="SXY2" s="55"/>
      <c r="SXZ2" s="55"/>
      <c r="SYA2" s="55"/>
      <c r="SYB2" s="55"/>
      <c r="SYC2" s="55"/>
      <c r="SYD2" s="55"/>
      <c r="SYE2" s="55"/>
      <c r="SYF2" s="55"/>
      <c r="SYG2" s="55"/>
      <c r="SYH2" s="55"/>
      <c r="SYI2" s="55"/>
      <c r="SYJ2" s="55"/>
      <c r="SYK2" s="55"/>
      <c r="SYL2" s="55"/>
      <c r="SYM2" s="55"/>
      <c r="SYN2" s="55"/>
      <c r="SYO2" s="55"/>
      <c r="SYP2" s="55"/>
      <c r="SYQ2" s="55"/>
      <c r="SYR2" s="55"/>
      <c r="SYS2" s="55"/>
      <c r="SYT2" s="55"/>
      <c r="SYU2" s="55"/>
      <c r="SYV2" s="55"/>
      <c r="SYW2" s="55"/>
      <c r="SYX2" s="55"/>
      <c r="SYY2" s="55"/>
      <c r="SYZ2" s="55"/>
      <c r="SZA2" s="55"/>
      <c r="SZB2" s="55"/>
      <c r="SZC2" s="55"/>
      <c r="SZD2" s="55"/>
      <c r="SZE2" s="55"/>
      <c r="SZF2" s="55"/>
      <c r="SZG2" s="55"/>
      <c r="SZH2" s="55"/>
      <c r="SZI2" s="55"/>
      <c r="SZJ2" s="55"/>
      <c r="SZK2" s="55"/>
      <c r="SZL2" s="55"/>
      <c r="SZM2" s="55"/>
      <c r="SZN2" s="55"/>
      <c r="SZO2" s="55"/>
      <c r="SZP2" s="55"/>
      <c r="SZQ2" s="55"/>
      <c r="SZR2" s="55"/>
      <c r="SZS2" s="55"/>
      <c r="SZT2" s="55"/>
      <c r="SZU2" s="55"/>
      <c r="SZV2" s="55"/>
      <c r="SZW2" s="55"/>
      <c r="SZX2" s="55"/>
      <c r="SZY2" s="55"/>
      <c r="SZZ2" s="55"/>
      <c r="TAA2" s="55"/>
      <c r="TAB2" s="55"/>
      <c r="TAC2" s="55"/>
      <c r="TAD2" s="55"/>
      <c r="TAE2" s="55"/>
      <c r="TAF2" s="55"/>
      <c r="TAG2" s="55"/>
      <c r="TAH2" s="55"/>
      <c r="TAI2" s="55"/>
      <c r="TAJ2" s="55"/>
      <c r="TAK2" s="55"/>
      <c r="TAL2" s="55"/>
      <c r="TAM2" s="55"/>
      <c r="TAN2" s="55"/>
      <c r="TAO2" s="55"/>
      <c r="TAP2" s="55"/>
      <c r="TAQ2" s="55"/>
      <c r="TAR2" s="55"/>
      <c r="TAS2" s="55"/>
      <c r="TAT2" s="55"/>
      <c r="TAU2" s="55"/>
      <c r="TAV2" s="55"/>
      <c r="TAW2" s="55"/>
      <c r="TAX2" s="55"/>
      <c r="TAY2" s="55"/>
      <c r="TAZ2" s="55"/>
      <c r="TBA2" s="55"/>
      <c r="TBB2" s="55"/>
      <c r="TBC2" s="55"/>
      <c r="TBD2" s="55"/>
      <c r="TBE2" s="55"/>
      <c r="TBF2" s="55"/>
      <c r="TBG2" s="55"/>
      <c r="TBH2" s="55"/>
      <c r="TBI2" s="55"/>
      <c r="TBJ2" s="55"/>
      <c r="TBK2" s="55"/>
      <c r="TBL2" s="55"/>
      <c r="TBM2" s="55"/>
      <c r="TBN2" s="55"/>
      <c r="TBO2" s="55"/>
      <c r="TBP2" s="55"/>
      <c r="TBQ2" s="55"/>
      <c r="TBR2" s="55"/>
      <c r="TBS2" s="55"/>
      <c r="TBT2" s="55"/>
      <c r="TBU2" s="55"/>
      <c r="TBV2" s="55"/>
      <c r="TBW2" s="55"/>
      <c r="TBX2" s="55"/>
      <c r="TBY2" s="55"/>
      <c r="TBZ2" s="55"/>
      <c r="TCA2" s="55"/>
      <c r="TCB2" s="55"/>
      <c r="TCC2" s="55"/>
      <c r="TCD2" s="55"/>
      <c r="TCE2" s="55"/>
      <c r="TCF2" s="55"/>
      <c r="TCG2" s="55"/>
      <c r="TCH2" s="55"/>
      <c r="TCI2" s="55"/>
      <c r="TCJ2" s="55"/>
      <c r="TCK2" s="55"/>
      <c r="TCL2" s="55"/>
      <c r="TCM2" s="55"/>
      <c r="TCN2" s="55"/>
      <c r="TCO2" s="55"/>
      <c r="TCP2" s="55"/>
      <c r="TCQ2" s="55"/>
      <c r="TCR2" s="55"/>
      <c r="TCS2" s="55"/>
      <c r="TCT2" s="55"/>
      <c r="TCU2" s="55"/>
      <c r="TCV2" s="55"/>
      <c r="TCW2" s="55"/>
      <c r="TCX2" s="55"/>
      <c r="TCY2" s="55"/>
      <c r="TCZ2" s="55"/>
      <c r="TDA2" s="55"/>
      <c r="TDB2" s="55"/>
      <c r="TDC2" s="55"/>
      <c r="TDD2" s="55"/>
      <c r="TDE2" s="55"/>
      <c r="TDF2" s="55"/>
      <c r="TDG2" s="55"/>
      <c r="TDH2" s="55"/>
      <c r="TDI2" s="55"/>
      <c r="TDJ2" s="55"/>
      <c r="TDK2" s="55"/>
      <c r="TDL2" s="55"/>
      <c r="TDM2" s="55"/>
      <c r="TDN2" s="55"/>
      <c r="TDO2" s="55"/>
      <c r="TDP2" s="55"/>
      <c r="TDQ2" s="55"/>
      <c r="TDR2" s="55"/>
      <c r="TDS2" s="55"/>
      <c r="TDT2" s="55"/>
      <c r="TDU2" s="55"/>
      <c r="TDV2" s="55"/>
      <c r="TDW2" s="55"/>
      <c r="TDX2" s="55"/>
      <c r="TDY2" s="55"/>
      <c r="TDZ2" s="55"/>
      <c r="TEA2" s="55"/>
      <c r="TEB2" s="55"/>
      <c r="TEC2" s="55"/>
      <c r="TED2" s="55"/>
      <c r="TEE2" s="55"/>
      <c r="TEF2" s="55"/>
      <c r="TEG2" s="55"/>
      <c r="TEH2" s="55"/>
      <c r="TEI2" s="55"/>
      <c r="TEJ2" s="55"/>
      <c r="TEK2" s="55"/>
      <c r="TEL2" s="55"/>
      <c r="TEM2" s="55"/>
      <c r="TEN2" s="55"/>
      <c r="TEO2" s="55"/>
      <c r="TEP2" s="55"/>
      <c r="TEQ2" s="55"/>
      <c r="TER2" s="55"/>
      <c r="TES2" s="55"/>
      <c r="TET2" s="55"/>
      <c r="TEU2" s="55"/>
      <c r="TEV2" s="55"/>
      <c r="TEW2" s="55"/>
      <c r="TEX2" s="55"/>
      <c r="TEY2" s="55"/>
      <c r="TEZ2" s="55"/>
      <c r="TFA2" s="55"/>
      <c r="TFB2" s="55"/>
      <c r="TFC2" s="55"/>
      <c r="TFD2" s="55"/>
      <c r="TFE2" s="55"/>
      <c r="TFF2" s="55"/>
      <c r="TFG2" s="55"/>
      <c r="TFH2" s="55"/>
      <c r="TFI2" s="55"/>
      <c r="TFJ2" s="55"/>
      <c r="TFK2" s="55"/>
      <c r="TFL2" s="55"/>
      <c r="TFM2" s="55"/>
      <c r="TFN2" s="55"/>
      <c r="TFO2" s="55"/>
      <c r="TFP2" s="55"/>
      <c r="TFQ2" s="55"/>
      <c r="TFR2" s="55"/>
      <c r="TFS2" s="55"/>
      <c r="TFT2" s="55"/>
      <c r="TFU2" s="55"/>
      <c r="TFV2" s="55"/>
      <c r="TFW2" s="55"/>
      <c r="TFX2" s="55"/>
      <c r="TFY2" s="55"/>
      <c r="TFZ2" s="55"/>
      <c r="TGA2" s="55"/>
      <c r="TGB2" s="55"/>
      <c r="TGC2" s="55"/>
      <c r="TGD2" s="55"/>
      <c r="TGE2" s="55"/>
      <c r="TGF2" s="55"/>
      <c r="TGG2" s="55"/>
      <c r="TGH2" s="55"/>
      <c r="TGI2" s="55"/>
      <c r="TGJ2" s="55"/>
      <c r="TGK2" s="55"/>
      <c r="TGL2" s="55"/>
      <c r="TGM2" s="55"/>
      <c r="TGN2" s="55"/>
      <c r="TGO2" s="55"/>
      <c r="TGP2" s="55"/>
      <c r="TGQ2" s="55"/>
      <c r="TGR2" s="55"/>
      <c r="TGS2" s="55"/>
      <c r="TGT2" s="55"/>
      <c r="TGU2" s="55"/>
      <c r="TGV2" s="55"/>
      <c r="TGW2" s="55"/>
      <c r="TGX2" s="55"/>
      <c r="TGY2" s="55"/>
      <c r="TGZ2" s="55"/>
      <c r="THA2" s="55"/>
      <c r="THB2" s="55"/>
      <c r="THC2" s="55"/>
      <c r="THD2" s="55"/>
      <c r="THE2" s="55"/>
      <c r="THF2" s="55"/>
      <c r="THG2" s="55"/>
      <c r="THH2" s="55"/>
      <c r="THI2" s="55"/>
      <c r="THJ2" s="55"/>
      <c r="THK2" s="55"/>
      <c r="THL2" s="55"/>
      <c r="THM2" s="55"/>
      <c r="THN2" s="55"/>
      <c r="THO2" s="55"/>
      <c r="THP2" s="55"/>
      <c r="THQ2" s="55"/>
      <c r="THR2" s="55"/>
      <c r="THS2" s="55"/>
      <c r="THT2" s="55"/>
      <c r="THU2" s="55"/>
      <c r="THV2" s="55"/>
      <c r="THW2" s="55"/>
      <c r="THX2" s="55"/>
      <c r="THY2" s="55"/>
      <c r="THZ2" s="55"/>
      <c r="TIA2" s="55"/>
      <c r="TIB2" s="55"/>
      <c r="TIC2" s="55"/>
      <c r="TID2" s="55"/>
      <c r="TIE2" s="55"/>
      <c r="TIF2" s="55"/>
      <c r="TIG2" s="55"/>
      <c r="TIH2" s="55"/>
      <c r="TII2" s="55"/>
      <c r="TIJ2" s="55"/>
      <c r="TIK2" s="55"/>
      <c r="TIL2" s="55"/>
      <c r="TIM2" s="55"/>
      <c r="TIN2" s="55"/>
      <c r="TIO2" s="55"/>
      <c r="TIP2" s="55"/>
      <c r="TIQ2" s="55"/>
      <c r="TIR2" s="55"/>
      <c r="TIS2" s="55"/>
      <c r="TIT2" s="55"/>
      <c r="TIU2" s="55"/>
      <c r="TIV2" s="55"/>
      <c r="TIW2" s="55"/>
      <c r="TIX2" s="55"/>
      <c r="TIY2" s="55"/>
      <c r="TIZ2" s="55"/>
      <c r="TJA2" s="55"/>
      <c r="TJB2" s="55"/>
      <c r="TJC2" s="55"/>
      <c r="TJD2" s="55"/>
      <c r="TJE2" s="55"/>
      <c r="TJF2" s="55"/>
      <c r="TJG2" s="55"/>
      <c r="TJH2" s="55"/>
      <c r="TJI2" s="55"/>
      <c r="TJJ2" s="55"/>
      <c r="TJK2" s="55"/>
      <c r="TJL2" s="55"/>
      <c r="TJM2" s="55"/>
      <c r="TJN2" s="55"/>
      <c r="TJO2" s="55"/>
      <c r="TJP2" s="55"/>
      <c r="TJQ2" s="55"/>
      <c r="TJR2" s="55"/>
      <c r="TJS2" s="55"/>
      <c r="TJT2" s="55"/>
      <c r="TJU2" s="55"/>
      <c r="TJV2" s="55"/>
      <c r="TJW2" s="55"/>
      <c r="TJX2" s="55"/>
      <c r="TJY2" s="55"/>
      <c r="TJZ2" s="55"/>
      <c r="TKA2" s="55"/>
      <c r="TKB2" s="55"/>
      <c r="TKC2" s="55"/>
      <c r="TKD2" s="55"/>
      <c r="TKE2" s="55"/>
      <c r="TKF2" s="55"/>
      <c r="TKG2" s="55"/>
      <c r="TKH2" s="55"/>
      <c r="TKI2" s="55"/>
      <c r="TKJ2" s="55"/>
      <c r="TKK2" s="55"/>
      <c r="TKL2" s="55"/>
      <c r="TKM2" s="55"/>
      <c r="TKN2" s="55"/>
      <c r="TKO2" s="55"/>
      <c r="TKP2" s="55"/>
      <c r="TKQ2" s="55"/>
      <c r="TKR2" s="55"/>
      <c r="TKS2" s="55"/>
      <c r="TKT2" s="55"/>
      <c r="TKU2" s="55"/>
      <c r="TKV2" s="55"/>
      <c r="TKW2" s="55"/>
      <c r="TKX2" s="55"/>
      <c r="TKY2" s="55"/>
      <c r="TKZ2" s="55"/>
      <c r="TLA2" s="55"/>
      <c r="TLB2" s="55"/>
      <c r="TLC2" s="55"/>
      <c r="TLD2" s="55"/>
      <c r="TLE2" s="55"/>
      <c r="TLF2" s="55"/>
      <c r="TLG2" s="55"/>
      <c r="TLH2" s="55"/>
      <c r="TLI2" s="55"/>
      <c r="TLJ2" s="55"/>
      <c r="TLK2" s="55"/>
      <c r="TLL2" s="55"/>
      <c r="TLM2" s="55"/>
      <c r="TLN2" s="55"/>
      <c r="TLO2" s="55"/>
      <c r="TLP2" s="55"/>
      <c r="TLQ2" s="55"/>
      <c r="TLR2" s="55"/>
      <c r="TLS2" s="55"/>
      <c r="TLT2" s="55"/>
      <c r="TLU2" s="55"/>
      <c r="TLV2" s="55"/>
      <c r="TLW2" s="55"/>
      <c r="TLX2" s="55"/>
      <c r="TLY2" s="55"/>
      <c r="TLZ2" s="55"/>
      <c r="TMA2" s="55"/>
      <c r="TMB2" s="55"/>
      <c r="TMC2" s="55"/>
      <c r="TMD2" s="55"/>
      <c r="TME2" s="55"/>
      <c r="TMF2" s="55"/>
      <c r="TMG2" s="55"/>
      <c r="TMH2" s="55"/>
      <c r="TMI2" s="55"/>
      <c r="TMJ2" s="55"/>
      <c r="TMK2" s="55"/>
      <c r="TML2" s="55"/>
      <c r="TMM2" s="55"/>
      <c r="TMN2" s="55"/>
      <c r="TMO2" s="55"/>
      <c r="TMP2" s="55"/>
      <c r="TMQ2" s="55"/>
      <c r="TMR2" s="55"/>
      <c r="TMS2" s="55"/>
      <c r="TMT2" s="55"/>
      <c r="TMU2" s="55"/>
      <c r="TMV2" s="55"/>
      <c r="TMW2" s="55"/>
      <c r="TMX2" s="55"/>
      <c r="TMY2" s="55"/>
      <c r="TMZ2" s="55"/>
      <c r="TNA2" s="55"/>
      <c r="TNB2" s="55"/>
      <c r="TNC2" s="55"/>
      <c r="TND2" s="55"/>
      <c r="TNE2" s="55"/>
      <c r="TNF2" s="55"/>
      <c r="TNG2" s="55"/>
      <c r="TNH2" s="55"/>
      <c r="TNI2" s="55"/>
      <c r="TNJ2" s="55"/>
      <c r="TNK2" s="55"/>
      <c r="TNL2" s="55"/>
      <c r="TNM2" s="55"/>
      <c r="TNN2" s="55"/>
      <c r="TNO2" s="55"/>
      <c r="TNP2" s="55"/>
      <c r="TNQ2" s="55"/>
      <c r="TNR2" s="55"/>
      <c r="TNS2" s="55"/>
      <c r="TNT2" s="55"/>
      <c r="TNU2" s="55"/>
      <c r="TNV2" s="55"/>
      <c r="TNW2" s="55"/>
      <c r="TNX2" s="55"/>
      <c r="TNY2" s="55"/>
      <c r="TNZ2" s="55"/>
      <c r="TOA2" s="55"/>
      <c r="TOB2" s="55"/>
      <c r="TOC2" s="55"/>
      <c r="TOD2" s="55"/>
      <c r="TOE2" s="55"/>
      <c r="TOF2" s="55"/>
      <c r="TOG2" s="55"/>
      <c r="TOH2" s="55"/>
      <c r="TOI2" s="55"/>
      <c r="TOJ2" s="55"/>
      <c r="TOK2" s="55"/>
      <c r="TOL2" s="55"/>
      <c r="TOM2" s="55"/>
      <c r="TON2" s="55"/>
      <c r="TOO2" s="55"/>
      <c r="TOP2" s="55"/>
      <c r="TOQ2" s="55"/>
      <c r="TOR2" s="55"/>
      <c r="TOS2" s="55"/>
      <c r="TOT2" s="55"/>
      <c r="TOU2" s="55"/>
      <c r="TOV2" s="55"/>
      <c r="TOW2" s="55"/>
      <c r="TOX2" s="55"/>
      <c r="TOY2" s="55"/>
      <c r="TOZ2" s="55"/>
      <c r="TPA2" s="55"/>
      <c r="TPB2" s="55"/>
      <c r="TPC2" s="55"/>
      <c r="TPD2" s="55"/>
      <c r="TPE2" s="55"/>
      <c r="TPF2" s="55"/>
      <c r="TPG2" s="55"/>
      <c r="TPH2" s="55"/>
      <c r="TPI2" s="55"/>
      <c r="TPJ2" s="55"/>
      <c r="TPK2" s="55"/>
      <c r="TPL2" s="55"/>
      <c r="TPM2" s="55"/>
      <c r="TPN2" s="55"/>
      <c r="TPO2" s="55"/>
      <c r="TPP2" s="55"/>
      <c r="TPQ2" s="55"/>
      <c r="TPR2" s="55"/>
      <c r="TPS2" s="55"/>
      <c r="TPT2" s="55"/>
      <c r="TPU2" s="55"/>
      <c r="TPV2" s="55"/>
      <c r="TPW2" s="55"/>
      <c r="TPX2" s="55"/>
      <c r="TPY2" s="55"/>
      <c r="TPZ2" s="55"/>
      <c r="TQA2" s="55"/>
      <c r="TQB2" s="55"/>
      <c r="TQC2" s="55"/>
      <c r="TQD2" s="55"/>
      <c r="TQE2" s="55"/>
      <c r="TQF2" s="55"/>
      <c r="TQG2" s="55"/>
      <c r="TQH2" s="55"/>
      <c r="TQI2" s="55"/>
      <c r="TQJ2" s="55"/>
      <c r="TQK2" s="55"/>
      <c r="TQL2" s="55"/>
      <c r="TQM2" s="55"/>
      <c r="TQN2" s="55"/>
      <c r="TQO2" s="55"/>
      <c r="TQP2" s="55"/>
      <c r="TQQ2" s="55"/>
      <c r="TQR2" s="55"/>
      <c r="TQS2" s="55"/>
      <c r="TQT2" s="55"/>
      <c r="TQU2" s="55"/>
      <c r="TQV2" s="55"/>
      <c r="TQW2" s="55"/>
      <c r="TQX2" s="55"/>
      <c r="TQY2" s="55"/>
      <c r="TQZ2" s="55"/>
      <c r="TRA2" s="55"/>
      <c r="TRB2" s="55"/>
      <c r="TRC2" s="55"/>
      <c r="TRD2" s="55"/>
      <c r="TRE2" s="55"/>
      <c r="TRF2" s="55"/>
      <c r="TRG2" s="55"/>
      <c r="TRH2" s="55"/>
      <c r="TRI2" s="55"/>
      <c r="TRJ2" s="55"/>
      <c r="TRK2" s="55"/>
      <c r="TRL2" s="55"/>
      <c r="TRM2" s="55"/>
      <c r="TRN2" s="55"/>
      <c r="TRO2" s="55"/>
      <c r="TRP2" s="55"/>
      <c r="TRQ2" s="55"/>
      <c r="TRR2" s="55"/>
      <c r="TRS2" s="55"/>
      <c r="TRT2" s="55"/>
      <c r="TRU2" s="55"/>
      <c r="TRV2" s="55"/>
      <c r="TRW2" s="55"/>
      <c r="TRX2" s="55"/>
      <c r="TRY2" s="55"/>
      <c r="TRZ2" s="55"/>
      <c r="TSA2" s="55"/>
      <c r="TSB2" s="55"/>
      <c r="TSC2" s="55"/>
      <c r="TSD2" s="55"/>
      <c r="TSE2" s="55"/>
      <c r="TSF2" s="55"/>
      <c r="TSG2" s="55"/>
      <c r="TSH2" s="55"/>
      <c r="TSI2" s="55"/>
      <c r="TSJ2" s="55"/>
      <c r="TSK2" s="55"/>
      <c r="TSL2" s="55"/>
      <c r="TSM2" s="55"/>
      <c r="TSN2" s="55"/>
      <c r="TSO2" s="55"/>
      <c r="TSP2" s="55"/>
      <c r="TSQ2" s="55"/>
      <c r="TSR2" s="55"/>
      <c r="TSS2" s="55"/>
      <c r="TST2" s="55"/>
      <c r="TSU2" s="55"/>
      <c r="TSV2" s="55"/>
      <c r="TSW2" s="55"/>
      <c r="TSX2" s="55"/>
      <c r="TSY2" s="55"/>
      <c r="TSZ2" s="55"/>
      <c r="TTA2" s="55"/>
      <c r="TTB2" s="55"/>
      <c r="TTC2" s="55"/>
      <c r="TTD2" s="55"/>
      <c r="TTE2" s="55"/>
      <c r="TTF2" s="55"/>
      <c r="TTG2" s="55"/>
      <c r="TTH2" s="55"/>
      <c r="TTI2" s="55"/>
      <c r="TTJ2" s="55"/>
      <c r="TTK2" s="55"/>
      <c r="TTL2" s="55"/>
      <c r="TTM2" s="55"/>
      <c r="TTN2" s="55"/>
      <c r="TTO2" s="55"/>
      <c r="TTP2" s="55"/>
      <c r="TTQ2" s="55"/>
      <c r="TTR2" s="55"/>
      <c r="TTS2" s="55"/>
      <c r="TTT2" s="55"/>
      <c r="TTU2" s="55"/>
      <c r="TTV2" s="55"/>
      <c r="TTW2" s="55"/>
      <c r="TTX2" s="55"/>
      <c r="TTY2" s="55"/>
      <c r="TTZ2" s="55"/>
      <c r="TUA2" s="55"/>
      <c r="TUB2" s="55"/>
      <c r="TUC2" s="55"/>
      <c r="TUD2" s="55"/>
      <c r="TUE2" s="55"/>
      <c r="TUF2" s="55"/>
      <c r="TUG2" s="55"/>
      <c r="TUH2" s="55"/>
      <c r="TUI2" s="55"/>
      <c r="TUJ2" s="55"/>
      <c r="TUK2" s="55"/>
      <c r="TUL2" s="55"/>
      <c r="TUM2" s="55"/>
      <c r="TUN2" s="55"/>
      <c r="TUO2" s="55"/>
      <c r="TUP2" s="55"/>
      <c r="TUQ2" s="55"/>
      <c r="TUR2" s="55"/>
      <c r="TUS2" s="55"/>
      <c r="TUT2" s="55"/>
      <c r="TUU2" s="55"/>
      <c r="TUV2" s="55"/>
      <c r="TUW2" s="55"/>
      <c r="TUX2" s="55"/>
      <c r="TUY2" s="55"/>
      <c r="TUZ2" s="55"/>
      <c r="TVA2" s="55"/>
      <c r="TVB2" s="55"/>
      <c r="TVC2" s="55"/>
      <c r="TVD2" s="55"/>
      <c r="TVE2" s="55"/>
      <c r="TVF2" s="55"/>
      <c r="TVG2" s="55"/>
      <c r="TVH2" s="55"/>
      <c r="TVI2" s="55"/>
      <c r="TVJ2" s="55"/>
      <c r="TVK2" s="55"/>
      <c r="TVL2" s="55"/>
      <c r="TVM2" s="55"/>
      <c r="TVN2" s="55"/>
      <c r="TVO2" s="55"/>
      <c r="TVP2" s="55"/>
      <c r="TVQ2" s="55"/>
      <c r="TVR2" s="55"/>
      <c r="TVS2" s="55"/>
      <c r="TVT2" s="55"/>
      <c r="TVU2" s="55"/>
      <c r="TVV2" s="55"/>
      <c r="TVW2" s="55"/>
      <c r="TVX2" s="55"/>
      <c r="TVY2" s="55"/>
      <c r="TVZ2" s="55"/>
      <c r="TWA2" s="55"/>
      <c r="TWB2" s="55"/>
      <c r="TWC2" s="55"/>
      <c r="TWD2" s="55"/>
      <c r="TWE2" s="55"/>
      <c r="TWF2" s="55"/>
      <c r="TWG2" s="55"/>
      <c r="TWH2" s="55"/>
      <c r="TWI2" s="55"/>
      <c r="TWJ2" s="55"/>
      <c r="TWK2" s="55"/>
      <c r="TWL2" s="55"/>
      <c r="TWM2" s="55"/>
      <c r="TWN2" s="55"/>
      <c r="TWO2" s="55"/>
      <c r="TWP2" s="55"/>
      <c r="TWQ2" s="55"/>
      <c r="TWR2" s="55"/>
      <c r="TWS2" s="55"/>
      <c r="TWT2" s="55"/>
      <c r="TWU2" s="55"/>
      <c r="TWV2" s="55"/>
      <c r="TWW2" s="55"/>
      <c r="TWX2" s="55"/>
      <c r="TWY2" s="55"/>
      <c r="TWZ2" s="55"/>
      <c r="TXA2" s="55"/>
      <c r="TXB2" s="55"/>
      <c r="TXC2" s="55"/>
      <c r="TXD2" s="55"/>
      <c r="TXE2" s="55"/>
      <c r="TXF2" s="55"/>
      <c r="TXG2" s="55"/>
      <c r="TXH2" s="55"/>
      <c r="TXI2" s="55"/>
      <c r="TXJ2" s="55"/>
      <c r="TXK2" s="55"/>
      <c r="TXL2" s="55"/>
      <c r="TXM2" s="55"/>
      <c r="TXN2" s="55"/>
      <c r="TXO2" s="55"/>
      <c r="TXP2" s="55"/>
      <c r="TXQ2" s="55"/>
      <c r="TXR2" s="55"/>
      <c r="TXS2" s="55"/>
      <c r="TXT2" s="55"/>
      <c r="TXU2" s="55"/>
      <c r="TXV2" s="55"/>
      <c r="TXW2" s="55"/>
      <c r="TXX2" s="55"/>
      <c r="TXY2" s="55"/>
      <c r="TXZ2" s="55"/>
      <c r="TYA2" s="55"/>
      <c r="TYB2" s="55"/>
      <c r="TYC2" s="55"/>
      <c r="TYD2" s="55"/>
      <c r="TYE2" s="55"/>
      <c r="TYF2" s="55"/>
      <c r="TYG2" s="55"/>
      <c r="TYH2" s="55"/>
      <c r="TYI2" s="55"/>
      <c r="TYJ2" s="55"/>
      <c r="TYK2" s="55"/>
      <c r="TYL2" s="55"/>
      <c r="TYM2" s="55"/>
      <c r="TYN2" s="55"/>
      <c r="TYO2" s="55"/>
      <c r="TYP2" s="55"/>
      <c r="TYQ2" s="55"/>
      <c r="TYR2" s="55"/>
      <c r="TYS2" s="55"/>
      <c r="TYT2" s="55"/>
      <c r="TYU2" s="55"/>
      <c r="TYV2" s="55"/>
      <c r="TYW2" s="55"/>
      <c r="TYX2" s="55"/>
      <c r="TYY2" s="55"/>
      <c r="TYZ2" s="55"/>
      <c r="TZA2" s="55"/>
      <c r="TZB2" s="55"/>
      <c r="TZC2" s="55"/>
      <c r="TZD2" s="55"/>
      <c r="TZE2" s="55"/>
      <c r="TZF2" s="55"/>
      <c r="TZG2" s="55"/>
      <c r="TZH2" s="55"/>
      <c r="TZI2" s="55"/>
      <c r="TZJ2" s="55"/>
      <c r="TZK2" s="55"/>
      <c r="TZL2" s="55"/>
      <c r="TZM2" s="55"/>
      <c r="TZN2" s="55"/>
      <c r="TZO2" s="55"/>
      <c r="TZP2" s="55"/>
      <c r="TZQ2" s="55"/>
      <c r="TZR2" s="55"/>
      <c r="TZS2" s="55"/>
      <c r="TZT2" s="55"/>
      <c r="TZU2" s="55"/>
      <c r="TZV2" s="55"/>
      <c r="TZW2" s="55"/>
      <c r="TZX2" s="55"/>
      <c r="TZY2" s="55"/>
      <c r="TZZ2" s="55"/>
      <c r="UAA2" s="55"/>
      <c r="UAB2" s="55"/>
      <c r="UAC2" s="55"/>
      <c r="UAD2" s="55"/>
      <c r="UAE2" s="55"/>
      <c r="UAF2" s="55"/>
      <c r="UAG2" s="55"/>
      <c r="UAH2" s="55"/>
      <c r="UAI2" s="55"/>
      <c r="UAJ2" s="55"/>
      <c r="UAK2" s="55"/>
      <c r="UAL2" s="55"/>
      <c r="UAM2" s="55"/>
      <c r="UAN2" s="55"/>
      <c r="UAO2" s="55"/>
      <c r="UAP2" s="55"/>
      <c r="UAQ2" s="55"/>
      <c r="UAR2" s="55"/>
      <c r="UAS2" s="55"/>
      <c r="UAT2" s="55"/>
      <c r="UAU2" s="55"/>
      <c r="UAV2" s="55"/>
      <c r="UAW2" s="55"/>
      <c r="UAX2" s="55"/>
      <c r="UAY2" s="55"/>
      <c r="UAZ2" s="55"/>
      <c r="UBA2" s="55"/>
      <c r="UBB2" s="55"/>
      <c r="UBC2" s="55"/>
      <c r="UBD2" s="55"/>
      <c r="UBE2" s="55"/>
      <c r="UBF2" s="55"/>
      <c r="UBG2" s="55"/>
      <c r="UBH2" s="55"/>
      <c r="UBI2" s="55"/>
      <c r="UBJ2" s="55"/>
      <c r="UBK2" s="55"/>
      <c r="UBL2" s="55"/>
      <c r="UBM2" s="55"/>
      <c r="UBN2" s="55"/>
      <c r="UBO2" s="55"/>
      <c r="UBP2" s="55"/>
      <c r="UBQ2" s="55"/>
      <c r="UBR2" s="55"/>
      <c r="UBS2" s="55"/>
      <c r="UBT2" s="55"/>
      <c r="UBU2" s="55"/>
      <c r="UBV2" s="55"/>
      <c r="UBW2" s="55"/>
      <c r="UBX2" s="55"/>
      <c r="UBY2" s="55"/>
      <c r="UBZ2" s="55"/>
      <c r="UCA2" s="55"/>
      <c r="UCB2" s="55"/>
      <c r="UCC2" s="55"/>
      <c r="UCD2" s="55"/>
      <c r="UCE2" s="55"/>
      <c r="UCF2" s="55"/>
      <c r="UCG2" s="55"/>
      <c r="UCH2" s="55"/>
      <c r="UCI2" s="55"/>
      <c r="UCJ2" s="55"/>
      <c r="UCK2" s="55"/>
      <c r="UCL2" s="55"/>
      <c r="UCM2" s="55"/>
      <c r="UCN2" s="55"/>
      <c r="UCO2" s="55"/>
      <c r="UCP2" s="55"/>
      <c r="UCQ2" s="55"/>
      <c r="UCR2" s="55"/>
      <c r="UCS2" s="55"/>
      <c r="UCT2" s="55"/>
      <c r="UCU2" s="55"/>
      <c r="UCV2" s="55"/>
      <c r="UCW2" s="55"/>
      <c r="UCX2" s="55"/>
      <c r="UCY2" s="55"/>
      <c r="UCZ2" s="55"/>
      <c r="UDA2" s="55"/>
      <c r="UDB2" s="55"/>
      <c r="UDC2" s="55"/>
      <c r="UDD2" s="55"/>
      <c r="UDE2" s="55"/>
      <c r="UDF2" s="55"/>
      <c r="UDG2" s="55"/>
      <c r="UDH2" s="55"/>
      <c r="UDI2" s="55"/>
      <c r="UDJ2" s="55"/>
      <c r="UDK2" s="55"/>
      <c r="UDL2" s="55"/>
      <c r="UDM2" s="55"/>
      <c r="UDN2" s="55"/>
      <c r="UDO2" s="55"/>
      <c r="UDP2" s="55"/>
      <c r="UDQ2" s="55"/>
      <c r="UDR2" s="55"/>
      <c r="UDS2" s="55"/>
      <c r="UDT2" s="55"/>
      <c r="UDU2" s="55"/>
      <c r="UDV2" s="55"/>
      <c r="UDW2" s="55"/>
      <c r="UDX2" s="55"/>
      <c r="UDY2" s="55"/>
      <c r="UDZ2" s="55"/>
      <c r="UEA2" s="55"/>
      <c r="UEB2" s="55"/>
      <c r="UEC2" s="55"/>
      <c r="UED2" s="55"/>
      <c r="UEE2" s="55"/>
      <c r="UEF2" s="55"/>
      <c r="UEG2" s="55"/>
      <c r="UEH2" s="55"/>
      <c r="UEI2" s="55"/>
      <c r="UEJ2" s="55"/>
      <c r="UEK2" s="55"/>
      <c r="UEL2" s="55"/>
      <c r="UEM2" s="55"/>
      <c r="UEN2" s="55"/>
      <c r="UEO2" s="55"/>
      <c r="UEP2" s="55"/>
      <c r="UEQ2" s="55"/>
      <c r="UER2" s="55"/>
      <c r="UES2" s="55"/>
      <c r="UET2" s="55"/>
      <c r="UEU2" s="55"/>
      <c r="UEV2" s="55"/>
      <c r="UEW2" s="55"/>
      <c r="UEX2" s="55"/>
      <c r="UEY2" s="55"/>
      <c r="UEZ2" s="55"/>
      <c r="UFA2" s="55"/>
      <c r="UFB2" s="55"/>
      <c r="UFC2" s="55"/>
      <c r="UFD2" s="55"/>
      <c r="UFE2" s="55"/>
      <c r="UFF2" s="55"/>
      <c r="UFG2" s="55"/>
      <c r="UFH2" s="55"/>
      <c r="UFI2" s="55"/>
      <c r="UFJ2" s="55"/>
      <c r="UFK2" s="55"/>
      <c r="UFL2" s="55"/>
      <c r="UFM2" s="55"/>
      <c r="UFN2" s="55"/>
      <c r="UFO2" s="55"/>
      <c r="UFP2" s="55"/>
      <c r="UFQ2" s="55"/>
      <c r="UFR2" s="55"/>
      <c r="UFS2" s="55"/>
      <c r="UFT2" s="55"/>
      <c r="UFU2" s="55"/>
      <c r="UFV2" s="55"/>
      <c r="UFW2" s="55"/>
      <c r="UFX2" s="55"/>
      <c r="UFY2" s="55"/>
      <c r="UFZ2" s="55"/>
      <c r="UGA2" s="55"/>
      <c r="UGB2" s="55"/>
      <c r="UGC2" s="55"/>
      <c r="UGD2" s="55"/>
      <c r="UGE2" s="55"/>
      <c r="UGF2" s="55"/>
      <c r="UGG2" s="55"/>
      <c r="UGH2" s="55"/>
      <c r="UGI2" s="55"/>
      <c r="UGJ2" s="55"/>
      <c r="UGK2" s="55"/>
      <c r="UGL2" s="55"/>
      <c r="UGM2" s="55"/>
      <c r="UGN2" s="55"/>
      <c r="UGO2" s="55"/>
      <c r="UGP2" s="55"/>
      <c r="UGQ2" s="55"/>
      <c r="UGR2" s="55"/>
      <c r="UGS2" s="55"/>
      <c r="UGT2" s="55"/>
      <c r="UGU2" s="55"/>
      <c r="UGV2" s="55"/>
      <c r="UGW2" s="55"/>
      <c r="UGX2" s="55"/>
      <c r="UGY2" s="55"/>
      <c r="UGZ2" s="55"/>
      <c r="UHA2" s="55"/>
      <c r="UHB2" s="55"/>
      <c r="UHC2" s="55"/>
      <c r="UHD2" s="55"/>
      <c r="UHE2" s="55"/>
      <c r="UHF2" s="55"/>
      <c r="UHG2" s="55"/>
      <c r="UHH2" s="55"/>
      <c r="UHI2" s="55"/>
      <c r="UHJ2" s="55"/>
      <c r="UHK2" s="55"/>
      <c r="UHL2" s="55"/>
      <c r="UHM2" s="55"/>
      <c r="UHN2" s="55"/>
      <c r="UHO2" s="55"/>
      <c r="UHP2" s="55"/>
      <c r="UHQ2" s="55"/>
      <c r="UHR2" s="55"/>
      <c r="UHS2" s="55"/>
      <c r="UHT2" s="55"/>
      <c r="UHU2" s="55"/>
      <c r="UHV2" s="55"/>
      <c r="UHW2" s="55"/>
      <c r="UHX2" s="55"/>
      <c r="UHY2" s="55"/>
      <c r="UHZ2" s="55"/>
      <c r="UIA2" s="55"/>
      <c r="UIB2" s="55"/>
      <c r="UIC2" s="55"/>
      <c r="UID2" s="55"/>
      <c r="UIE2" s="55"/>
      <c r="UIF2" s="55"/>
      <c r="UIG2" s="55"/>
      <c r="UIH2" s="55"/>
      <c r="UII2" s="55"/>
      <c r="UIJ2" s="55"/>
      <c r="UIK2" s="55"/>
      <c r="UIL2" s="55"/>
      <c r="UIM2" s="55"/>
      <c r="UIN2" s="55"/>
      <c r="UIO2" s="55"/>
      <c r="UIP2" s="55"/>
      <c r="UIQ2" s="55"/>
      <c r="UIR2" s="55"/>
      <c r="UIS2" s="55"/>
      <c r="UIT2" s="55"/>
      <c r="UIU2" s="55"/>
      <c r="UIV2" s="55"/>
      <c r="UIW2" s="55"/>
      <c r="UIX2" s="55"/>
      <c r="UIY2" s="55"/>
      <c r="UIZ2" s="55"/>
      <c r="UJA2" s="55"/>
      <c r="UJB2" s="55"/>
      <c r="UJC2" s="55"/>
      <c r="UJD2" s="55"/>
      <c r="UJE2" s="55"/>
      <c r="UJF2" s="55"/>
      <c r="UJG2" s="55"/>
      <c r="UJH2" s="55"/>
      <c r="UJI2" s="55"/>
      <c r="UJJ2" s="55"/>
      <c r="UJK2" s="55"/>
      <c r="UJL2" s="55"/>
      <c r="UJM2" s="55"/>
      <c r="UJN2" s="55"/>
      <c r="UJO2" s="55"/>
      <c r="UJP2" s="55"/>
      <c r="UJQ2" s="55"/>
      <c r="UJR2" s="55"/>
      <c r="UJS2" s="55"/>
      <c r="UJT2" s="55"/>
      <c r="UJU2" s="55"/>
      <c r="UJV2" s="55"/>
      <c r="UJW2" s="55"/>
      <c r="UJX2" s="55"/>
      <c r="UJY2" s="55"/>
      <c r="UJZ2" s="55"/>
      <c r="UKA2" s="55"/>
      <c r="UKB2" s="55"/>
      <c r="UKC2" s="55"/>
      <c r="UKD2" s="55"/>
      <c r="UKE2" s="55"/>
      <c r="UKF2" s="55"/>
      <c r="UKG2" s="55"/>
      <c r="UKH2" s="55"/>
      <c r="UKI2" s="55"/>
      <c r="UKJ2" s="55"/>
      <c r="UKK2" s="55"/>
      <c r="UKL2" s="55"/>
      <c r="UKM2" s="55"/>
      <c r="UKN2" s="55"/>
      <c r="UKO2" s="55"/>
      <c r="UKP2" s="55"/>
      <c r="UKQ2" s="55"/>
      <c r="UKR2" s="55"/>
      <c r="UKS2" s="55"/>
      <c r="UKT2" s="55"/>
      <c r="UKU2" s="55"/>
      <c r="UKV2" s="55"/>
      <c r="UKW2" s="55"/>
      <c r="UKX2" s="55"/>
      <c r="UKY2" s="55"/>
      <c r="UKZ2" s="55"/>
      <c r="ULA2" s="55"/>
      <c r="ULB2" s="55"/>
      <c r="ULC2" s="55"/>
      <c r="ULD2" s="55"/>
      <c r="ULE2" s="55"/>
      <c r="ULF2" s="55"/>
      <c r="ULG2" s="55"/>
      <c r="ULH2" s="55"/>
      <c r="ULI2" s="55"/>
      <c r="ULJ2" s="55"/>
      <c r="ULK2" s="55"/>
      <c r="ULL2" s="55"/>
      <c r="ULM2" s="55"/>
      <c r="ULN2" s="55"/>
      <c r="ULO2" s="55"/>
      <c r="ULP2" s="55"/>
      <c r="ULQ2" s="55"/>
      <c r="ULR2" s="55"/>
      <c r="ULS2" s="55"/>
      <c r="ULT2" s="55"/>
      <c r="ULU2" s="55"/>
      <c r="ULV2" s="55"/>
      <c r="ULW2" s="55"/>
      <c r="ULX2" s="55"/>
      <c r="ULY2" s="55"/>
      <c r="ULZ2" s="55"/>
      <c r="UMA2" s="55"/>
      <c r="UMB2" s="55"/>
      <c r="UMC2" s="55"/>
      <c r="UMD2" s="55"/>
      <c r="UME2" s="55"/>
      <c r="UMF2" s="55"/>
      <c r="UMG2" s="55"/>
      <c r="UMH2" s="55"/>
      <c r="UMI2" s="55"/>
      <c r="UMJ2" s="55"/>
      <c r="UMK2" s="55"/>
      <c r="UML2" s="55"/>
      <c r="UMM2" s="55"/>
      <c r="UMN2" s="55"/>
      <c r="UMO2" s="55"/>
      <c r="UMP2" s="55"/>
      <c r="UMQ2" s="55"/>
      <c r="UMR2" s="55"/>
      <c r="UMS2" s="55"/>
      <c r="UMT2" s="55"/>
      <c r="UMU2" s="55"/>
      <c r="UMV2" s="55"/>
      <c r="UMW2" s="55"/>
      <c r="UMX2" s="55"/>
      <c r="UMY2" s="55"/>
      <c r="UMZ2" s="55"/>
      <c r="UNA2" s="55"/>
      <c r="UNB2" s="55"/>
      <c r="UNC2" s="55"/>
      <c r="UND2" s="55"/>
      <c r="UNE2" s="55"/>
      <c r="UNF2" s="55"/>
      <c r="UNG2" s="55"/>
      <c r="UNH2" s="55"/>
      <c r="UNI2" s="55"/>
      <c r="UNJ2" s="55"/>
      <c r="UNK2" s="55"/>
      <c r="UNL2" s="55"/>
      <c r="UNM2" s="55"/>
      <c r="UNN2" s="55"/>
      <c r="UNO2" s="55"/>
      <c r="UNP2" s="55"/>
      <c r="UNQ2" s="55"/>
      <c r="UNR2" s="55"/>
      <c r="UNS2" s="55"/>
      <c r="UNT2" s="55"/>
      <c r="UNU2" s="55"/>
      <c r="UNV2" s="55"/>
      <c r="UNW2" s="55"/>
      <c r="UNX2" s="55"/>
      <c r="UNY2" s="55"/>
      <c r="UNZ2" s="55"/>
      <c r="UOA2" s="55"/>
      <c r="UOB2" s="55"/>
      <c r="UOC2" s="55"/>
      <c r="UOD2" s="55"/>
      <c r="UOE2" s="55"/>
      <c r="UOF2" s="55"/>
      <c r="UOG2" s="55"/>
      <c r="UOH2" s="55"/>
      <c r="UOI2" s="55"/>
      <c r="UOJ2" s="55"/>
      <c r="UOK2" s="55"/>
      <c r="UOL2" s="55"/>
      <c r="UOM2" s="55"/>
      <c r="UON2" s="55"/>
      <c r="UOO2" s="55"/>
      <c r="UOP2" s="55"/>
      <c r="UOQ2" s="55"/>
      <c r="UOR2" s="55"/>
      <c r="UOS2" s="55"/>
      <c r="UOT2" s="55"/>
      <c r="UOU2" s="55"/>
      <c r="UOV2" s="55"/>
      <c r="UOW2" s="55"/>
      <c r="UOX2" s="55"/>
      <c r="UOY2" s="55"/>
      <c r="UOZ2" s="55"/>
      <c r="UPA2" s="55"/>
      <c r="UPB2" s="55"/>
      <c r="UPC2" s="55"/>
      <c r="UPD2" s="55"/>
      <c r="UPE2" s="55"/>
      <c r="UPF2" s="55"/>
      <c r="UPG2" s="55"/>
      <c r="UPH2" s="55"/>
      <c r="UPI2" s="55"/>
      <c r="UPJ2" s="55"/>
      <c r="UPK2" s="55"/>
      <c r="UPL2" s="55"/>
      <c r="UPM2" s="55"/>
      <c r="UPN2" s="55"/>
      <c r="UPO2" s="55"/>
      <c r="UPP2" s="55"/>
      <c r="UPQ2" s="55"/>
      <c r="UPR2" s="55"/>
      <c r="UPS2" s="55"/>
      <c r="UPT2" s="55"/>
      <c r="UPU2" s="55"/>
      <c r="UPV2" s="55"/>
      <c r="UPW2" s="55"/>
      <c r="UPX2" s="55"/>
      <c r="UPY2" s="55"/>
      <c r="UPZ2" s="55"/>
      <c r="UQA2" s="55"/>
      <c r="UQB2" s="55"/>
      <c r="UQC2" s="55"/>
      <c r="UQD2" s="55"/>
      <c r="UQE2" s="55"/>
      <c r="UQF2" s="55"/>
      <c r="UQG2" s="55"/>
      <c r="UQH2" s="55"/>
      <c r="UQI2" s="55"/>
      <c r="UQJ2" s="55"/>
      <c r="UQK2" s="55"/>
      <c r="UQL2" s="55"/>
      <c r="UQM2" s="55"/>
      <c r="UQN2" s="55"/>
      <c r="UQO2" s="55"/>
      <c r="UQP2" s="55"/>
      <c r="UQQ2" s="55"/>
      <c r="UQR2" s="55"/>
      <c r="UQS2" s="55"/>
      <c r="UQT2" s="55"/>
      <c r="UQU2" s="55"/>
      <c r="UQV2" s="55"/>
      <c r="UQW2" s="55"/>
      <c r="UQX2" s="55"/>
      <c r="UQY2" s="55"/>
      <c r="UQZ2" s="55"/>
      <c r="URA2" s="55"/>
      <c r="URB2" s="55"/>
      <c r="URC2" s="55"/>
      <c r="URD2" s="55"/>
      <c r="URE2" s="55"/>
      <c r="URF2" s="55"/>
      <c r="URG2" s="55"/>
      <c r="URH2" s="55"/>
      <c r="URI2" s="55"/>
      <c r="URJ2" s="55"/>
      <c r="URK2" s="55"/>
      <c r="URL2" s="55"/>
      <c r="URM2" s="55"/>
      <c r="URN2" s="55"/>
      <c r="URO2" s="55"/>
      <c r="URP2" s="55"/>
      <c r="URQ2" s="55"/>
      <c r="URR2" s="55"/>
      <c r="URS2" s="55"/>
      <c r="URT2" s="55"/>
      <c r="URU2" s="55"/>
      <c r="URV2" s="55"/>
      <c r="URW2" s="55"/>
      <c r="URX2" s="55"/>
      <c r="URY2" s="55"/>
      <c r="URZ2" s="55"/>
      <c r="USA2" s="55"/>
      <c r="USB2" s="55"/>
      <c r="USC2" s="55"/>
      <c r="USD2" s="55"/>
      <c r="USE2" s="55"/>
      <c r="USF2" s="55"/>
      <c r="USG2" s="55"/>
      <c r="USH2" s="55"/>
      <c r="USI2" s="55"/>
      <c r="USJ2" s="55"/>
      <c r="USK2" s="55"/>
      <c r="USL2" s="55"/>
      <c r="USM2" s="55"/>
      <c r="USN2" s="55"/>
      <c r="USO2" s="55"/>
      <c r="USP2" s="55"/>
      <c r="USQ2" s="55"/>
      <c r="USR2" s="55"/>
      <c r="USS2" s="55"/>
      <c r="UST2" s="55"/>
      <c r="USU2" s="55"/>
      <c r="USV2" s="55"/>
      <c r="USW2" s="55"/>
      <c r="USX2" s="55"/>
      <c r="USY2" s="55"/>
      <c r="USZ2" s="55"/>
      <c r="UTA2" s="55"/>
      <c r="UTB2" s="55"/>
      <c r="UTC2" s="55"/>
      <c r="UTD2" s="55"/>
      <c r="UTE2" s="55"/>
      <c r="UTF2" s="55"/>
      <c r="UTG2" s="55"/>
      <c r="UTH2" s="55"/>
      <c r="UTI2" s="55"/>
      <c r="UTJ2" s="55"/>
      <c r="UTK2" s="55"/>
      <c r="UTL2" s="55"/>
      <c r="UTM2" s="55"/>
      <c r="UTN2" s="55"/>
      <c r="UTO2" s="55"/>
      <c r="UTP2" s="55"/>
      <c r="UTQ2" s="55"/>
      <c r="UTR2" s="55"/>
      <c r="UTS2" s="55"/>
      <c r="UTT2" s="55"/>
      <c r="UTU2" s="55"/>
      <c r="UTV2" s="55"/>
      <c r="UTW2" s="55"/>
      <c r="UTX2" s="55"/>
      <c r="UTY2" s="55"/>
      <c r="UTZ2" s="55"/>
      <c r="UUA2" s="55"/>
      <c r="UUB2" s="55"/>
      <c r="UUC2" s="55"/>
      <c r="UUD2" s="55"/>
      <c r="UUE2" s="55"/>
      <c r="UUF2" s="55"/>
      <c r="UUG2" s="55"/>
      <c r="UUH2" s="55"/>
      <c r="UUI2" s="55"/>
      <c r="UUJ2" s="55"/>
      <c r="UUK2" s="55"/>
      <c r="UUL2" s="55"/>
      <c r="UUM2" s="55"/>
      <c r="UUN2" s="55"/>
      <c r="UUO2" s="55"/>
      <c r="UUP2" s="55"/>
      <c r="UUQ2" s="55"/>
      <c r="UUR2" s="55"/>
      <c r="UUS2" s="55"/>
      <c r="UUT2" s="55"/>
      <c r="UUU2" s="55"/>
      <c r="UUV2" s="55"/>
      <c r="UUW2" s="55"/>
      <c r="UUX2" s="55"/>
      <c r="UUY2" s="55"/>
      <c r="UUZ2" s="55"/>
      <c r="UVA2" s="55"/>
      <c r="UVB2" s="55"/>
      <c r="UVC2" s="55"/>
      <c r="UVD2" s="55"/>
      <c r="UVE2" s="55"/>
      <c r="UVF2" s="55"/>
      <c r="UVG2" s="55"/>
      <c r="UVH2" s="55"/>
      <c r="UVI2" s="55"/>
      <c r="UVJ2" s="55"/>
      <c r="UVK2" s="55"/>
      <c r="UVL2" s="55"/>
      <c r="UVM2" s="55"/>
      <c r="UVN2" s="55"/>
      <c r="UVO2" s="55"/>
      <c r="UVP2" s="55"/>
      <c r="UVQ2" s="55"/>
      <c r="UVR2" s="55"/>
      <c r="UVS2" s="55"/>
      <c r="UVT2" s="55"/>
      <c r="UVU2" s="55"/>
      <c r="UVV2" s="55"/>
      <c r="UVW2" s="55"/>
      <c r="UVX2" s="55"/>
      <c r="UVY2" s="55"/>
      <c r="UVZ2" s="55"/>
      <c r="UWA2" s="55"/>
      <c r="UWB2" s="55"/>
      <c r="UWC2" s="55"/>
      <c r="UWD2" s="55"/>
      <c r="UWE2" s="55"/>
      <c r="UWF2" s="55"/>
      <c r="UWG2" s="55"/>
      <c r="UWH2" s="55"/>
      <c r="UWI2" s="55"/>
      <c r="UWJ2" s="55"/>
      <c r="UWK2" s="55"/>
      <c r="UWL2" s="55"/>
      <c r="UWM2" s="55"/>
      <c r="UWN2" s="55"/>
      <c r="UWO2" s="55"/>
      <c r="UWP2" s="55"/>
      <c r="UWQ2" s="55"/>
      <c r="UWR2" s="55"/>
      <c r="UWS2" s="55"/>
      <c r="UWT2" s="55"/>
      <c r="UWU2" s="55"/>
      <c r="UWV2" s="55"/>
      <c r="UWW2" s="55"/>
      <c r="UWX2" s="55"/>
      <c r="UWY2" s="55"/>
      <c r="UWZ2" s="55"/>
      <c r="UXA2" s="55"/>
      <c r="UXB2" s="55"/>
      <c r="UXC2" s="55"/>
      <c r="UXD2" s="55"/>
      <c r="UXE2" s="55"/>
      <c r="UXF2" s="55"/>
      <c r="UXG2" s="55"/>
      <c r="UXH2" s="55"/>
      <c r="UXI2" s="55"/>
      <c r="UXJ2" s="55"/>
      <c r="UXK2" s="55"/>
      <c r="UXL2" s="55"/>
      <c r="UXM2" s="55"/>
      <c r="UXN2" s="55"/>
      <c r="UXO2" s="55"/>
      <c r="UXP2" s="55"/>
      <c r="UXQ2" s="55"/>
      <c r="UXR2" s="55"/>
      <c r="UXS2" s="55"/>
      <c r="UXT2" s="55"/>
      <c r="UXU2" s="55"/>
      <c r="UXV2" s="55"/>
      <c r="UXW2" s="55"/>
      <c r="UXX2" s="55"/>
      <c r="UXY2" s="55"/>
      <c r="UXZ2" s="55"/>
      <c r="UYA2" s="55"/>
      <c r="UYB2" s="55"/>
      <c r="UYC2" s="55"/>
      <c r="UYD2" s="55"/>
      <c r="UYE2" s="55"/>
      <c r="UYF2" s="55"/>
      <c r="UYG2" s="55"/>
      <c r="UYH2" s="55"/>
      <c r="UYI2" s="55"/>
      <c r="UYJ2" s="55"/>
      <c r="UYK2" s="55"/>
      <c r="UYL2" s="55"/>
      <c r="UYM2" s="55"/>
      <c r="UYN2" s="55"/>
      <c r="UYO2" s="55"/>
      <c r="UYP2" s="55"/>
      <c r="UYQ2" s="55"/>
      <c r="UYR2" s="55"/>
      <c r="UYS2" s="55"/>
      <c r="UYT2" s="55"/>
      <c r="UYU2" s="55"/>
      <c r="UYV2" s="55"/>
      <c r="UYW2" s="55"/>
      <c r="UYX2" s="55"/>
      <c r="UYY2" s="55"/>
      <c r="UYZ2" s="55"/>
      <c r="UZA2" s="55"/>
      <c r="UZB2" s="55"/>
      <c r="UZC2" s="55"/>
      <c r="UZD2" s="55"/>
      <c r="UZE2" s="55"/>
      <c r="UZF2" s="55"/>
      <c r="UZG2" s="55"/>
      <c r="UZH2" s="55"/>
      <c r="UZI2" s="55"/>
      <c r="UZJ2" s="55"/>
      <c r="UZK2" s="55"/>
      <c r="UZL2" s="55"/>
      <c r="UZM2" s="55"/>
      <c r="UZN2" s="55"/>
      <c r="UZO2" s="55"/>
      <c r="UZP2" s="55"/>
      <c r="UZQ2" s="55"/>
      <c r="UZR2" s="55"/>
      <c r="UZS2" s="55"/>
      <c r="UZT2" s="55"/>
      <c r="UZU2" s="55"/>
      <c r="UZV2" s="55"/>
      <c r="UZW2" s="55"/>
      <c r="UZX2" s="55"/>
      <c r="UZY2" s="55"/>
      <c r="UZZ2" s="55"/>
      <c r="VAA2" s="55"/>
      <c r="VAB2" s="55"/>
      <c r="VAC2" s="55"/>
      <c r="VAD2" s="55"/>
      <c r="VAE2" s="55"/>
      <c r="VAF2" s="55"/>
      <c r="VAG2" s="55"/>
      <c r="VAH2" s="55"/>
      <c r="VAI2" s="55"/>
      <c r="VAJ2" s="55"/>
      <c r="VAK2" s="55"/>
      <c r="VAL2" s="55"/>
      <c r="VAM2" s="55"/>
      <c r="VAN2" s="55"/>
      <c r="VAO2" s="55"/>
      <c r="VAP2" s="55"/>
      <c r="VAQ2" s="55"/>
      <c r="VAR2" s="55"/>
      <c r="VAS2" s="55"/>
      <c r="VAT2" s="55"/>
      <c r="VAU2" s="55"/>
      <c r="VAV2" s="55"/>
      <c r="VAW2" s="55"/>
      <c r="VAX2" s="55"/>
      <c r="VAY2" s="55"/>
      <c r="VAZ2" s="55"/>
      <c r="VBA2" s="55"/>
      <c r="VBB2" s="55"/>
      <c r="VBC2" s="55"/>
      <c r="VBD2" s="55"/>
      <c r="VBE2" s="55"/>
      <c r="VBF2" s="55"/>
      <c r="VBG2" s="55"/>
      <c r="VBH2" s="55"/>
      <c r="VBI2" s="55"/>
      <c r="VBJ2" s="55"/>
      <c r="VBK2" s="55"/>
      <c r="VBL2" s="55"/>
      <c r="VBM2" s="55"/>
      <c r="VBN2" s="55"/>
      <c r="VBO2" s="55"/>
      <c r="VBP2" s="55"/>
      <c r="VBQ2" s="55"/>
      <c r="VBR2" s="55"/>
      <c r="VBS2" s="55"/>
      <c r="VBT2" s="55"/>
      <c r="VBU2" s="55"/>
      <c r="VBV2" s="55"/>
      <c r="VBW2" s="55"/>
      <c r="VBX2" s="55"/>
      <c r="VBY2" s="55"/>
      <c r="VBZ2" s="55"/>
      <c r="VCA2" s="55"/>
      <c r="VCB2" s="55"/>
      <c r="VCC2" s="55"/>
      <c r="VCD2" s="55"/>
      <c r="VCE2" s="55"/>
      <c r="VCF2" s="55"/>
      <c r="VCG2" s="55"/>
      <c r="VCH2" s="55"/>
      <c r="VCI2" s="55"/>
      <c r="VCJ2" s="55"/>
      <c r="VCK2" s="55"/>
      <c r="VCL2" s="55"/>
      <c r="VCM2" s="55"/>
      <c r="VCN2" s="55"/>
      <c r="VCO2" s="55"/>
      <c r="VCP2" s="55"/>
      <c r="VCQ2" s="55"/>
      <c r="VCR2" s="55"/>
      <c r="VCS2" s="55"/>
      <c r="VCT2" s="55"/>
      <c r="VCU2" s="55"/>
      <c r="VCV2" s="55"/>
      <c r="VCW2" s="55"/>
      <c r="VCX2" s="55"/>
      <c r="VCY2" s="55"/>
      <c r="VCZ2" s="55"/>
      <c r="VDA2" s="55"/>
      <c r="VDB2" s="55"/>
      <c r="VDC2" s="55"/>
      <c r="VDD2" s="55"/>
      <c r="VDE2" s="55"/>
      <c r="VDF2" s="55"/>
      <c r="VDG2" s="55"/>
      <c r="VDH2" s="55"/>
      <c r="VDI2" s="55"/>
      <c r="VDJ2" s="55"/>
      <c r="VDK2" s="55"/>
      <c r="VDL2" s="55"/>
      <c r="VDM2" s="55"/>
      <c r="VDN2" s="55"/>
      <c r="VDO2" s="55"/>
      <c r="VDP2" s="55"/>
      <c r="VDQ2" s="55"/>
      <c r="VDR2" s="55"/>
      <c r="VDS2" s="55"/>
      <c r="VDT2" s="55"/>
      <c r="VDU2" s="55"/>
      <c r="VDV2" s="55"/>
      <c r="VDW2" s="55"/>
      <c r="VDX2" s="55"/>
      <c r="VDY2" s="55"/>
      <c r="VDZ2" s="55"/>
      <c r="VEA2" s="55"/>
      <c r="VEB2" s="55"/>
      <c r="VEC2" s="55"/>
      <c r="VED2" s="55"/>
      <c r="VEE2" s="55"/>
      <c r="VEF2" s="55"/>
      <c r="VEG2" s="55"/>
      <c r="VEH2" s="55"/>
      <c r="VEI2" s="55"/>
      <c r="VEJ2" s="55"/>
      <c r="VEK2" s="55"/>
      <c r="VEL2" s="55"/>
      <c r="VEM2" s="55"/>
      <c r="VEN2" s="55"/>
      <c r="VEO2" s="55"/>
      <c r="VEP2" s="55"/>
      <c r="VEQ2" s="55"/>
      <c r="VER2" s="55"/>
      <c r="VES2" s="55"/>
      <c r="VET2" s="55"/>
      <c r="VEU2" s="55"/>
      <c r="VEV2" s="55"/>
      <c r="VEW2" s="55"/>
      <c r="VEX2" s="55"/>
      <c r="VEY2" s="55"/>
      <c r="VEZ2" s="55"/>
      <c r="VFA2" s="55"/>
      <c r="VFB2" s="55"/>
      <c r="VFC2" s="55"/>
      <c r="VFD2" s="55"/>
      <c r="VFE2" s="55"/>
      <c r="VFF2" s="55"/>
      <c r="VFG2" s="55"/>
      <c r="VFH2" s="55"/>
      <c r="VFI2" s="55"/>
      <c r="VFJ2" s="55"/>
      <c r="VFK2" s="55"/>
      <c r="VFL2" s="55"/>
      <c r="VFM2" s="55"/>
      <c r="VFN2" s="55"/>
      <c r="VFO2" s="55"/>
      <c r="VFP2" s="55"/>
      <c r="VFQ2" s="55"/>
      <c r="VFR2" s="55"/>
      <c r="VFS2" s="55"/>
      <c r="VFT2" s="55"/>
      <c r="VFU2" s="55"/>
      <c r="VFV2" s="55"/>
      <c r="VFW2" s="55"/>
      <c r="VFX2" s="55"/>
      <c r="VFY2" s="55"/>
      <c r="VFZ2" s="55"/>
      <c r="VGA2" s="55"/>
      <c r="VGB2" s="55"/>
      <c r="VGC2" s="55"/>
      <c r="VGD2" s="55"/>
      <c r="VGE2" s="55"/>
      <c r="VGF2" s="55"/>
      <c r="VGG2" s="55"/>
      <c r="VGH2" s="55"/>
      <c r="VGI2" s="55"/>
      <c r="VGJ2" s="55"/>
      <c r="VGK2" s="55"/>
      <c r="VGL2" s="55"/>
      <c r="VGM2" s="55"/>
      <c r="VGN2" s="55"/>
      <c r="VGO2" s="55"/>
      <c r="VGP2" s="55"/>
      <c r="VGQ2" s="55"/>
      <c r="VGR2" s="55"/>
      <c r="VGS2" s="55"/>
      <c r="VGT2" s="55"/>
      <c r="VGU2" s="55"/>
      <c r="VGV2" s="55"/>
      <c r="VGW2" s="55"/>
      <c r="VGX2" s="55"/>
      <c r="VGY2" s="55"/>
      <c r="VGZ2" s="55"/>
      <c r="VHA2" s="55"/>
      <c r="VHB2" s="55"/>
      <c r="VHC2" s="55"/>
      <c r="VHD2" s="55"/>
      <c r="VHE2" s="55"/>
      <c r="VHF2" s="55"/>
      <c r="VHG2" s="55"/>
      <c r="VHH2" s="55"/>
      <c r="VHI2" s="55"/>
      <c r="VHJ2" s="55"/>
      <c r="VHK2" s="55"/>
      <c r="VHL2" s="55"/>
      <c r="VHM2" s="55"/>
      <c r="VHN2" s="55"/>
      <c r="VHO2" s="55"/>
      <c r="VHP2" s="55"/>
      <c r="VHQ2" s="55"/>
      <c r="VHR2" s="55"/>
      <c r="VHS2" s="55"/>
      <c r="VHT2" s="55"/>
      <c r="VHU2" s="55"/>
      <c r="VHV2" s="55"/>
      <c r="VHW2" s="55"/>
      <c r="VHX2" s="55"/>
      <c r="VHY2" s="55"/>
      <c r="VHZ2" s="55"/>
      <c r="VIA2" s="55"/>
      <c r="VIB2" s="55"/>
      <c r="VIC2" s="55"/>
      <c r="VID2" s="55"/>
      <c r="VIE2" s="55"/>
      <c r="VIF2" s="55"/>
      <c r="VIG2" s="55"/>
      <c r="VIH2" s="55"/>
      <c r="VII2" s="55"/>
      <c r="VIJ2" s="55"/>
      <c r="VIK2" s="55"/>
      <c r="VIL2" s="55"/>
      <c r="VIM2" s="55"/>
      <c r="VIN2" s="55"/>
      <c r="VIO2" s="55"/>
      <c r="VIP2" s="55"/>
      <c r="VIQ2" s="55"/>
      <c r="VIR2" s="55"/>
      <c r="VIS2" s="55"/>
      <c r="VIT2" s="55"/>
      <c r="VIU2" s="55"/>
      <c r="VIV2" s="55"/>
      <c r="VIW2" s="55"/>
      <c r="VIX2" s="55"/>
      <c r="VIY2" s="55"/>
      <c r="VIZ2" s="55"/>
      <c r="VJA2" s="55"/>
      <c r="VJB2" s="55"/>
      <c r="VJC2" s="55"/>
      <c r="VJD2" s="55"/>
      <c r="VJE2" s="55"/>
      <c r="VJF2" s="55"/>
      <c r="VJG2" s="55"/>
      <c r="VJH2" s="55"/>
      <c r="VJI2" s="55"/>
      <c r="VJJ2" s="55"/>
      <c r="VJK2" s="55"/>
      <c r="VJL2" s="55"/>
      <c r="VJM2" s="55"/>
      <c r="VJN2" s="55"/>
      <c r="VJO2" s="55"/>
      <c r="VJP2" s="55"/>
      <c r="VJQ2" s="55"/>
      <c r="VJR2" s="55"/>
      <c r="VJS2" s="55"/>
      <c r="VJT2" s="55"/>
      <c r="VJU2" s="55"/>
      <c r="VJV2" s="55"/>
      <c r="VJW2" s="55"/>
      <c r="VJX2" s="55"/>
      <c r="VJY2" s="55"/>
      <c r="VJZ2" s="55"/>
      <c r="VKA2" s="55"/>
      <c r="VKB2" s="55"/>
      <c r="VKC2" s="55"/>
      <c r="VKD2" s="55"/>
      <c r="VKE2" s="55"/>
      <c r="VKF2" s="55"/>
      <c r="VKG2" s="55"/>
      <c r="VKH2" s="55"/>
      <c r="VKI2" s="55"/>
      <c r="VKJ2" s="55"/>
      <c r="VKK2" s="55"/>
      <c r="VKL2" s="55"/>
      <c r="VKM2" s="55"/>
      <c r="VKN2" s="55"/>
      <c r="VKO2" s="55"/>
      <c r="VKP2" s="55"/>
      <c r="VKQ2" s="55"/>
      <c r="VKR2" s="55"/>
      <c r="VKS2" s="55"/>
      <c r="VKT2" s="55"/>
      <c r="VKU2" s="55"/>
      <c r="VKV2" s="55"/>
      <c r="VKW2" s="55"/>
      <c r="VKX2" s="55"/>
      <c r="VKY2" s="55"/>
      <c r="VKZ2" s="55"/>
      <c r="VLA2" s="55"/>
      <c r="VLB2" s="55"/>
      <c r="VLC2" s="55"/>
      <c r="VLD2" s="55"/>
      <c r="VLE2" s="55"/>
      <c r="VLF2" s="55"/>
      <c r="VLG2" s="55"/>
      <c r="VLH2" s="55"/>
      <c r="VLI2" s="55"/>
      <c r="VLJ2" s="55"/>
      <c r="VLK2" s="55"/>
      <c r="VLL2" s="55"/>
      <c r="VLM2" s="55"/>
      <c r="VLN2" s="55"/>
      <c r="VLO2" s="55"/>
      <c r="VLP2" s="55"/>
      <c r="VLQ2" s="55"/>
      <c r="VLR2" s="55"/>
      <c r="VLS2" s="55"/>
      <c r="VLT2" s="55"/>
      <c r="VLU2" s="55"/>
      <c r="VLV2" s="55"/>
      <c r="VLW2" s="55"/>
      <c r="VLX2" s="55"/>
      <c r="VLY2" s="55"/>
      <c r="VLZ2" s="55"/>
      <c r="VMA2" s="55"/>
      <c r="VMB2" s="55"/>
      <c r="VMC2" s="55"/>
      <c r="VMD2" s="55"/>
      <c r="VME2" s="55"/>
      <c r="VMF2" s="55"/>
      <c r="VMG2" s="55"/>
      <c r="VMH2" s="55"/>
      <c r="VMI2" s="55"/>
      <c r="VMJ2" s="55"/>
      <c r="VMK2" s="55"/>
      <c r="VML2" s="55"/>
      <c r="VMM2" s="55"/>
      <c r="VMN2" s="55"/>
      <c r="VMO2" s="55"/>
      <c r="VMP2" s="55"/>
      <c r="VMQ2" s="55"/>
      <c r="VMR2" s="55"/>
      <c r="VMS2" s="55"/>
      <c r="VMT2" s="55"/>
      <c r="VMU2" s="55"/>
      <c r="VMV2" s="55"/>
      <c r="VMW2" s="55"/>
      <c r="VMX2" s="55"/>
      <c r="VMY2" s="55"/>
      <c r="VMZ2" s="55"/>
      <c r="VNA2" s="55"/>
      <c r="VNB2" s="55"/>
      <c r="VNC2" s="55"/>
      <c r="VND2" s="55"/>
      <c r="VNE2" s="55"/>
      <c r="VNF2" s="55"/>
      <c r="VNG2" s="55"/>
      <c r="VNH2" s="55"/>
      <c r="VNI2" s="55"/>
      <c r="VNJ2" s="55"/>
      <c r="VNK2" s="55"/>
      <c r="VNL2" s="55"/>
      <c r="VNM2" s="55"/>
      <c r="VNN2" s="55"/>
      <c r="VNO2" s="55"/>
      <c r="VNP2" s="55"/>
      <c r="VNQ2" s="55"/>
      <c r="VNR2" s="55"/>
      <c r="VNS2" s="55"/>
      <c r="VNT2" s="55"/>
      <c r="VNU2" s="55"/>
      <c r="VNV2" s="55"/>
      <c r="VNW2" s="55"/>
      <c r="VNX2" s="55"/>
      <c r="VNY2" s="55"/>
      <c r="VNZ2" s="55"/>
      <c r="VOA2" s="55"/>
      <c r="VOB2" s="55"/>
      <c r="VOC2" s="55"/>
      <c r="VOD2" s="55"/>
      <c r="VOE2" s="55"/>
      <c r="VOF2" s="55"/>
      <c r="VOG2" s="55"/>
      <c r="VOH2" s="55"/>
      <c r="VOI2" s="55"/>
      <c r="VOJ2" s="55"/>
      <c r="VOK2" s="55"/>
      <c r="VOL2" s="55"/>
      <c r="VOM2" s="55"/>
      <c r="VON2" s="55"/>
      <c r="VOO2" s="55"/>
      <c r="VOP2" s="55"/>
      <c r="VOQ2" s="55"/>
      <c r="VOR2" s="55"/>
      <c r="VOS2" s="55"/>
      <c r="VOT2" s="55"/>
      <c r="VOU2" s="55"/>
      <c r="VOV2" s="55"/>
      <c r="VOW2" s="55"/>
      <c r="VOX2" s="55"/>
      <c r="VOY2" s="55"/>
      <c r="VOZ2" s="55"/>
      <c r="VPA2" s="55"/>
      <c r="VPB2" s="55"/>
      <c r="VPC2" s="55"/>
      <c r="VPD2" s="55"/>
      <c r="VPE2" s="55"/>
      <c r="VPF2" s="55"/>
      <c r="VPG2" s="55"/>
      <c r="VPH2" s="55"/>
      <c r="VPI2" s="55"/>
      <c r="VPJ2" s="55"/>
      <c r="VPK2" s="55"/>
      <c r="VPL2" s="55"/>
      <c r="VPM2" s="55"/>
      <c r="VPN2" s="55"/>
      <c r="VPO2" s="55"/>
      <c r="VPP2" s="55"/>
      <c r="VPQ2" s="55"/>
      <c r="VPR2" s="55"/>
      <c r="VPS2" s="55"/>
      <c r="VPT2" s="55"/>
      <c r="VPU2" s="55"/>
      <c r="VPV2" s="55"/>
      <c r="VPW2" s="55"/>
      <c r="VPX2" s="55"/>
      <c r="VPY2" s="55"/>
      <c r="VPZ2" s="55"/>
      <c r="VQA2" s="55"/>
      <c r="VQB2" s="55"/>
      <c r="VQC2" s="55"/>
      <c r="VQD2" s="55"/>
      <c r="VQE2" s="55"/>
      <c r="VQF2" s="55"/>
      <c r="VQG2" s="55"/>
      <c r="VQH2" s="55"/>
      <c r="VQI2" s="55"/>
      <c r="VQJ2" s="55"/>
      <c r="VQK2" s="55"/>
      <c r="VQL2" s="55"/>
      <c r="VQM2" s="55"/>
      <c r="VQN2" s="55"/>
      <c r="VQO2" s="55"/>
      <c r="VQP2" s="55"/>
      <c r="VQQ2" s="55"/>
      <c r="VQR2" s="55"/>
      <c r="VQS2" s="55"/>
      <c r="VQT2" s="55"/>
      <c r="VQU2" s="55"/>
      <c r="VQV2" s="55"/>
      <c r="VQW2" s="55"/>
      <c r="VQX2" s="55"/>
      <c r="VQY2" s="55"/>
      <c r="VQZ2" s="55"/>
      <c r="VRA2" s="55"/>
      <c r="VRB2" s="55"/>
      <c r="VRC2" s="55"/>
      <c r="VRD2" s="55"/>
      <c r="VRE2" s="55"/>
      <c r="VRF2" s="55"/>
      <c r="VRG2" s="55"/>
      <c r="VRH2" s="55"/>
      <c r="VRI2" s="55"/>
      <c r="VRJ2" s="55"/>
      <c r="VRK2" s="55"/>
      <c r="VRL2" s="55"/>
      <c r="VRM2" s="55"/>
      <c r="VRN2" s="55"/>
      <c r="VRO2" s="55"/>
      <c r="VRP2" s="55"/>
      <c r="VRQ2" s="55"/>
      <c r="VRR2" s="55"/>
      <c r="VRS2" s="55"/>
      <c r="VRT2" s="55"/>
      <c r="VRU2" s="55"/>
      <c r="VRV2" s="55"/>
      <c r="VRW2" s="55"/>
      <c r="VRX2" s="55"/>
      <c r="VRY2" s="55"/>
      <c r="VRZ2" s="55"/>
      <c r="VSA2" s="55"/>
      <c r="VSB2" s="55"/>
      <c r="VSC2" s="55"/>
      <c r="VSD2" s="55"/>
      <c r="VSE2" s="55"/>
      <c r="VSF2" s="55"/>
      <c r="VSG2" s="55"/>
      <c r="VSH2" s="55"/>
      <c r="VSI2" s="55"/>
      <c r="VSJ2" s="55"/>
      <c r="VSK2" s="55"/>
      <c r="VSL2" s="55"/>
      <c r="VSM2" s="55"/>
      <c r="VSN2" s="55"/>
      <c r="VSO2" s="55"/>
      <c r="VSP2" s="55"/>
      <c r="VSQ2" s="55"/>
      <c r="VSR2" s="55"/>
      <c r="VSS2" s="55"/>
      <c r="VST2" s="55"/>
      <c r="VSU2" s="55"/>
      <c r="VSV2" s="55"/>
      <c r="VSW2" s="55"/>
      <c r="VSX2" s="55"/>
      <c r="VSY2" s="55"/>
      <c r="VSZ2" s="55"/>
      <c r="VTA2" s="55"/>
      <c r="VTB2" s="55"/>
      <c r="VTC2" s="55"/>
      <c r="VTD2" s="55"/>
      <c r="VTE2" s="55"/>
      <c r="VTF2" s="55"/>
      <c r="VTG2" s="55"/>
      <c r="VTH2" s="55"/>
      <c r="VTI2" s="55"/>
      <c r="VTJ2" s="55"/>
      <c r="VTK2" s="55"/>
      <c r="VTL2" s="55"/>
      <c r="VTM2" s="55"/>
      <c r="VTN2" s="55"/>
      <c r="VTO2" s="55"/>
      <c r="VTP2" s="55"/>
      <c r="VTQ2" s="55"/>
      <c r="VTR2" s="55"/>
      <c r="VTS2" s="55"/>
      <c r="VTT2" s="55"/>
      <c r="VTU2" s="55"/>
      <c r="VTV2" s="55"/>
      <c r="VTW2" s="55"/>
      <c r="VTX2" s="55"/>
      <c r="VTY2" s="55"/>
      <c r="VTZ2" s="55"/>
      <c r="VUA2" s="55"/>
      <c r="VUB2" s="55"/>
      <c r="VUC2" s="55"/>
      <c r="VUD2" s="55"/>
      <c r="VUE2" s="55"/>
      <c r="VUF2" s="55"/>
      <c r="VUG2" s="55"/>
      <c r="VUH2" s="55"/>
      <c r="VUI2" s="55"/>
      <c r="VUJ2" s="55"/>
      <c r="VUK2" s="55"/>
      <c r="VUL2" s="55"/>
      <c r="VUM2" s="55"/>
      <c r="VUN2" s="55"/>
      <c r="VUO2" s="55"/>
      <c r="VUP2" s="55"/>
      <c r="VUQ2" s="55"/>
      <c r="VUR2" s="55"/>
      <c r="VUS2" s="55"/>
      <c r="VUT2" s="55"/>
      <c r="VUU2" s="55"/>
      <c r="VUV2" s="55"/>
      <c r="VUW2" s="55"/>
      <c r="VUX2" s="55"/>
      <c r="VUY2" s="55"/>
      <c r="VUZ2" s="55"/>
      <c r="VVA2" s="55"/>
      <c r="VVB2" s="55"/>
      <c r="VVC2" s="55"/>
      <c r="VVD2" s="55"/>
      <c r="VVE2" s="55"/>
      <c r="VVF2" s="55"/>
      <c r="VVG2" s="55"/>
      <c r="VVH2" s="55"/>
      <c r="VVI2" s="55"/>
      <c r="VVJ2" s="55"/>
      <c r="VVK2" s="55"/>
      <c r="VVL2" s="55"/>
      <c r="VVM2" s="55"/>
      <c r="VVN2" s="55"/>
      <c r="VVO2" s="55"/>
      <c r="VVP2" s="55"/>
      <c r="VVQ2" s="55"/>
      <c r="VVR2" s="55"/>
      <c r="VVS2" s="55"/>
      <c r="VVT2" s="55"/>
      <c r="VVU2" s="55"/>
      <c r="VVV2" s="55"/>
      <c r="VVW2" s="55"/>
      <c r="VVX2" s="55"/>
      <c r="VVY2" s="55"/>
      <c r="VVZ2" s="55"/>
      <c r="VWA2" s="55"/>
      <c r="VWB2" s="55"/>
      <c r="VWC2" s="55"/>
      <c r="VWD2" s="55"/>
      <c r="VWE2" s="55"/>
      <c r="VWF2" s="55"/>
      <c r="VWG2" s="55"/>
      <c r="VWH2" s="55"/>
      <c r="VWI2" s="55"/>
      <c r="VWJ2" s="55"/>
      <c r="VWK2" s="55"/>
      <c r="VWL2" s="55"/>
      <c r="VWM2" s="55"/>
      <c r="VWN2" s="55"/>
      <c r="VWO2" s="55"/>
      <c r="VWP2" s="55"/>
      <c r="VWQ2" s="55"/>
      <c r="VWR2" s="55"/>
      <c r="VWS2" s="55"/>
      <c r="VWT2" s="55"/>
      <c r="VWU2" s="55"/>
      <c r="VWV2" s="55"/>
      <c r="VWW2" s="55"/>
      <c r="VWX2" s="55"/>
      <c r="VWY2" s="55"/>
      <c r="VWZ2" s="55"/>
      <c r="VXA2" s="55"/>
      <c r="VXB2" s="55"/>
      <c r="VXC2" s="55"/>
      <c r="VXD2" s="55"/>
      <c r="VXE2" s="55"/>
      <c r="VXF2" s="55"/>
      <c r="VXG2" s="55"/>
      <c r="VXH2" s="55"/>
      <c r="VXI2" s="55"/>
      <c r="VXJ2" s="55"/>
      <c r="VXK2" s="55"/>
      <c r="VXL2" s="55"/>
      <c r="VXM2" s="55"/>
      <c r="VXN2" s="55"/>
      <c r="VXO2" s="55"/>
      <c r="VXP2" s="55"/>
      <c r="VXQ2" s="55"/>
      <c r="VXR2" s="55"/>
      <c r="VXS2" s="55"/>
      <c r="VXT2" s="55"/>
      <c r="VXU2" s="55"/>
      <c r="VXV2" s="55"/>
      <c r="VXW2" s="55"/>
      <c r="VXX2" s="55"/>
      <c r="VXY2" s="55"/>
      <c r="VXZ2" s="55"/>
      <c r="VYA2" s="55"/>
      <c r="VYB2" s="55"/>
      <c r="VYC2" s="55"/>
      <c r="VYD2" s="55"/>
      <c r="VYE2" s="55"/>
      <c r="VYF2" s="55"/>
      <c r="VYG2" s="55"/>
      <c r="VYH2" s="55"/>
      <c r="VYI2" s="55"/>
      <c r="VYJ2" s="55"/>
      <c r="VYK2" s="55"/>
      <c r="VYL2" s="55"/>
      <c r="VYM2" s="55"/>
      <c r="VYN2" s="55"/>
      <c r="VYO2" s="55"/>
      <c r="VYP2" s="55"/>
      <c r="VYQ2" s="55"/>
      <c r="VYR2" s="55"/>
      <c r="VYS2" s="55"/>
      <c r="VYT2" s="55"/>
      <c r="VYU2" s="55"/>
      <c r="VYV2" s="55"/>
      <c r="VYW2" s="55"/>
      <c r="VYX2" s="55"/>
      <c r="VYY2" s="55"/>
      <c r="VYZ2" s="55"/>
      <c r="VZA2" s="55"/>
      <c r="VZB2" s="55"/>
      <c r="VZC2" s="55"/>
      <c r="VZD2" s="55"/>
      <c r="VZE2" s="55"/>
      <c r="VZF2" s="55"/>
      <c r="VZG2" s="55"/>
      <c r="VZH2" s="55"/>
      <c r="VZI2" s="55"/>
      <c r="VZJ2" s="55"/>
      <c r="VZK2" s="55"/>
      <c r="VZL2" s="55"/>
      <c r="VZM2" s="55"/>
      <c r="VZN2" s="55"/>
      <c r="VZO2" s="55"/>
      <c r="VZP2" s="55"/>
      <c r="VZQ2" s="55"/>
      <c r="VZR2" s="55"/>
      <c r="VZS2" s="55"/>
      <c r="VZT2" s="55"/>
      <c r="VZU2" s="55"/>
      <c r="VZV2" s="55"/>
      <c r="VZW2" s="55"/>
      <c r="VZX2" s="55"/>
      <c r="VZY2" s="55"/>
      <c r="VZZ2" s="55"/>
      <c r="WAA2" s="55"/>
      <c r="WAB2" s="55"/>
      <c r="WAC2" s="55"/>
      <c r="WAD2" s="55"/>
      <c r="WAE2" s="55"/>
      <c r="WAF2" s="55"/>
      <c r="WAG2" s="55"/>
      <c r="WAH2" s="55"/>
      <c r="WAI2" s="55"/>
      <c r="WAJ2" s="55"/>
      <c r="WAK2" s="55"/>
      <c r="WAL2" s="55"/>
      <c r="WAM2" s="55"/>
      <c r="WAN2" s="55"/>
      <c r="WAO2" s="55"/>
      <c r="WAP2" s="55"/>
      <c r="WAQ2" s="55"/>
      <c r="WAR2" s="55"/>
      <c r="WAS2" s="55"/>
      <c r="WAT2" s="55"/>
      <c r="WAU2" s="55"/>
      <c r="WAV2" s="55"/>
      <c r="WAW2" s="55"/>
      <c r="WAX2" s="55"/>
      <c r="WAY2" s="55"/>
      <c r="WAZ2" s="55"/>
      <c r="WBA2" s="55"/>
      <c r="WBB2" s="55"/>
      <c r="WBC2" s="55"/>
      <c r="WBD2" s="55"/>
      <c r="WBE2" s="55"/>
      <c r="WBF2" s="55"/>
      <c r="WBG2" s="55"/>
      <c r="WBH2" s="55"/>
      <c r="WBI2" s="55"/>
      <c r="WBJ2" s="55"/>
      <c r="WBK2" s="55"/>
      <c r="WBL2" s="55"/>
      <c r="WBM2" s="55"/>
      <c r="WBN2" s="55"/>
      <c r="WBO2" s="55"/>
      <c r="WBP2" s="55"/>
      <c r="WBQ2" s="55"/>
      <c r="WBR2" s="55"/>
      <c r="WBS2" s="55"/>
      <c r="WBT2" s="55"/>
      <c r="WBU2" s="55"/>
      <c r="WBV2" s="55"/>
      <c r="WBW2" s="55"/>
      <c r="WBX2" s="55"/>
      <c r="WBY2" s="55"/>
      <c r="WBZ2" s="55"/>
      <c r="WCA2" s="55"/>
      <c r="WCB2" s="55"/>
      <c r="WCC2" s="55"/>
      <c r="WCD2" s="55"/>
      <c r="WCE2" s="55"/>
      <c r="WCF2" s="55"/>
      <c r="WCG2" s="55"/>
      <c r="WCH2" s="55"/>
      <c r="WCI2" s="55"/>
      <c r="WCJ2" s="55"/>
      <c r="WCK2" s="55"/>
      <c r="WCL2" s="55"/>
      <c r="WCM2" s="55"/>
      <c r="WCN2" s="55"/>
      <c r="WCO2" s="55"/>
      <c r="WCP2" s="55"/>
      <c r="WCQ2" s="55"/>
      <c r="WCR2" s="55"/>
      <c r="WCS2" s="55"/>
      <c r="WCT2" s="55"/>
      <c r="WCU2" s="55"/>
      <c r="WCV2" s="55"/>
      <c r="WCW2" s="55"/>
      <c r="WCX2" s="55"/>
      <c r="WCY2" s="55"/>
      <c r="WCZ2" s="55"/>
      <c r="WDA2" s="55"/>
      <c r="WDB2" s="55"/>
      <c r="WDC2" s="55"/>
      <c r="WDD2" s="55"/>
      <c r="WDE2" s="55"/>
      <c r="WDF2" s="55"/>
      <c r="WDG2" s="55"/>
      <c r="WDH2" s="55"/>
      <c r="WDI2" s="55"/>
      <c r="WDJ2" s="55"/>
      <c r="WDK2" s="55"/>
      <c r="WDL2" s="55"/>
      <c r="WDM2" s="55"/>
      <c r="WDN2" s="55"/>
      <c r="WDO2" s="55"/>
      <c r="WDP2" s="55"/>
      <c r="WDQ2" s="55"/>
      <c r="WDR2" s="55"/>
      <c r="WDS2" s="55"/>
      <c r="WDT2" s="55"/>
      <c r="WDU2" s="55"/>
      <c r="WDV2" s="55"/>
      <c r="WDW2" s="55"/>
      <c r="WDX2" s="55"/>
      <c r="WDY2" s="55"/>
      <c r="WDZ2" s="55"/>
      <c r="WEA2" s="55"/>
      <c r="WEB2" s="55"/>
      <c r="WEC2" s="55"/>
      <c r="WED2" s="55"/>
      <c r="WEE2" s="55"/>
      <c r="WEF2" s="55"/>
      <c r="WEG2" s="55"/>
      <c r="WEH2" s="55"/>
      <c r="WEI2" s="55"/>
      <c r="WEJ2" s="55"/>
      <c r="WEK2" s="55"/>
      <c r="WEL2" s="55"/>
      <c r="WEM2" s="55"/>
      <c r="WEN2" s="55"/>
      <c r="WEO2" s="55"/>
      <c r="WEP2" s="55"/>
      <c r="WEQ2" s="55"/>
      <c r="WER2" s="55"/>
      <c r="WES2" s="55"/>
      <c r="WET2" s="55"/>
      <c r="WEU2" s="55"/>
      <c r="WEV2" s="55"/>
      <c r="WEW2" s="55"/>
      <c r="WEX2" s="55"/>
      <c r="WEY2" s="55"/>
      <c r="WEZ2" s="55"/>
      <c r="WFA2" s="55"/>
      <c r="WFB2" s="55"/>
      <c r="WFC2" s="55"/>
      <c r="WFD2" s="55"/>
      <c r="WFE2" s="55"/>
      <c r="WFF2" s="55"/>
      <c r="WFG2" s="55"/>
      <c r="WFH2" s="55"/>
      <c r="WFI2" s="55"/>
      <c r="WFJ2" s="55"/>
      <c r="WFK2" s="55"/>
      <c r="WFL2" s="55"/>
      <c r="WFM2" s="55"/>
      <c r="WFN2" s="55"/>
      <c r="WFO2" s="55"/>
      <c r="WFP2" s="55"/>
      <c r="WFQ2" s="55"/>
      <c r="WFR2" s="55"/>
      <c r="WFS2" s="55"/>
      <c r="WFT2" s="55"/>
      <c r="WFU2" s="55"/>
      <c r="WFV2" s="55"/>
      <c r="WFW2" s="55"/>
      <c r="WFX2" s="55"/>
      <c r="WFY2" s="55"/>
      <c r="WFZ2" s="55"/>
      <c r="WGA2" s="55"/>
      <c r="WGB2" s="55"/>
      <c r="WGC2" s="55"/>
      <c r="WGD2" s="55"/>
      <c r="WGE2" s="55"/>
      <c r="WGF2" s="55"/>
      <c r="WGG2" s="55"/>
      <c r="WGH2" s="55"/>
      <c r="WGI2" s="55"/>
      <c r="WGJ2" s="55"/>
      <c r="WGK2" s="55"/>
      <c r="WGL2" s="55"/>
      <c r="WGM2" s="55"/>
      <c r="WGN2" s="55"/>
      <c r="WGO2" s="55"/>
      <c r="WGP2" s="55"/>
      <c r="WGQ2" s="55"/>
      <c r="WGR2" s="55"/>
      <c r="WGS2" s="55"/>
      <c r="WGT2" s="55"/>
      <c r="WGU2" s="55"/>
      <c r="WGV2" s="55"/>
      <c r="WGW2" s="55"/>
      <c r="WGX2" s="55"/>
      <c r="WGY2" s="55"/>
      <c r="WGZ2" s="55"/>
      <c r="WHA2" s="55"/>
      <c r="WHB2" s="55"/>
      <c r="WHC2" s="55"/>
      <c r="WHD2" s="55"/>
      <c r="WHE2" s="55"/>
      <c r="WHF2" s="55"/>
      <c r="WHG2" s="55"/>
      <c r="WHH2" s="55"/>
      <c r="WHI2" s="55"/>
      <c r="WHJ2" s="55"/>
      <c r="WHK2" s="55"/>
      <c r="WHL2" s="55"/>
      <c r="WHM2" s="55"/>
      <c r="WHN2" s="55"/>
      <c r="WHO2" s="55"/>
      <c r="WHP2" s="55"/>
      <c r="WHQ2" s="55"/>
      <c r="WHR2" s="55"/>
      <c r="WHS2" s="55"/>
      <c r="WHT2" s="55"/>
      <c r="WHU2" s="55"/>
      <c r="WHV2" s="55"/>
      <c r="WHW2" s="55"/>
      <c r="WHX2" s="55"/>
      <c r="WHY2" s="55"/>
      <c r="WHZ2" s="55"/>
      <c r="WIA2" s="55"/>
      <c r="WIB2" s="55"/>
      <c r="WIC2" s="55"/>
      <c r="WID2" s="55"/>
      <c r="WIE2" s="55"/>
      <c r="WIF2" s="55"/>
      <c r="WIG2" s="55"/>
      <c r="WIH2" s="55"/>
      <c r="WII2" s="55"/>
      <c r="WIJ2" s="55"/>
      <c r="WIK2" s="55"/>
      <c r="WIL2" s="55"/>
      <c r="WIM2" s="55"/>
      <c r="WIN2" s="55"/>
      <c r="WIO2" s="55"/>
      <c r="WIP2" s="55"/>
      <c r="WIQ2" s="55"/>
      <c r="WIR2" s="55"/>
      <c r="WIS2" s="55"/>
      <c r="WIT2" s="55"/>
      <c r="WIU2" s="55"/>
      <c r="WIV2" s="55"/>
      <c r="WIW2" s="55"/>
      <c r="WIX2" s="55"/>
      <c r="WIY2" s="55"/>
      <c r="WIZ2" s="55"/>
      <c r="WJA2" s="55"/>
      <c r="WJB2" s="55"/>
      <c r="WJC2" s="55"/>
      <c r="WJD2" s="55"/>
      <c r="WJE2" s="55"/>
      <c r="WJF2" s="55"/>
      <c r="WJG2" s="55"/>
      <c r="WJH2" s="55"/>
      <c r="WJI2" s="55"/>
      <c r="WJJ2" s="55"/>
      <c r="WJK2" s="55"/>
      <c r="WJL2" s="55"/>
      <c r="WJM2" s="55"/>
      <c r="WJN2" s="55"/>
      <c r="WJO2" s="55"/>
      <c r="WJP2" s="55"/>
      <c r="WJQ2" s="55"/>
      <c r="WJR2" s="55"/>
      <c r="WJS2" s="55"/>
      <c r="WJT2" s="55"/>
      <c r="WJU2" s="55"/>
      <c r="WJV2" s="55"/>
      <c r="WJW2" s="55"/>
      <c r="WJX2" s="55"/>
      <c r="WJY2" s="55"/>
      <c r="WJZ2" s="55"/>
      <c r="WKA2" s="55"/>
      <c r="WKB2" s="55"/>
      <c r="WKC2" s="55"/>
      <c r="WKD2" s="55"/>
      <c r="WKE2" s="55"/>
      <c r="WKF2" s="55"/>
      <c r="WKG2" s="55"/>
      <c r="WKH2" s="55"/>
      <c r="WKI2" s="55"/>
      <c r="WKJ2" s="55"/>
      <c r="WKK2" s="55"/>
      <c r="WKL2" s="55"/>
      <c r="WKM2" s="55"/>
      <c r="WKN2" s="55"/>
      <c r="WKO2" s="55"/>
      <c r="WKP2" s="55"/>
      <c r="WKQ2" s="55"/>
      <c r="WKR2" s="55"/>
      <c r="WKS2" s="55"/>
      <c r="WKT2" s="55"/>
      <c r="WKU2" s="55"/>
      <c r="WKV2" s="55"/>
      <c r="WKW2" s="55"/>
      <c r="WKX2" s="55"/>
      <c r="WKY2" s="55"/>
      <c r="WKZ2" s="55"/>
      <c r="WLA2" s="55"/>
      <c r="WLB2" s="55"/>
      <c r="WLC2" s="55"/>
      <c r="WLD2" s="55"/>
      <c r="WLE2" s="55"/>
      <c r="WLF2" s="55"/>
      <c r="WLG2" s="55"/>
      <c r="WLH2" s="55"/>
      <c r="WLI2" s="55"/>
      <c r="WLJ2" s="55"/>
      <c r="WLK2" s="55"/>
      <c r="WLL2" s="55"/>
      <c r="WLM2" s="55"/>
      <c r="WLN2" s="55"/>
      <c r="WLO2" s="55"/>
      <c r="WLP2" s="55"/>
      <c r="WLQ2" s="55"/>
      <c r="WLR2" s="55"/>
      <c r="WLS2" s="55"/>
      <c r="WLT2" s="55"/>
      <c r="WLU2" s="55"/>
      <c r="WLV2" s="55"/>
      <c r="WLW2" s="55"/>
      <c r="WLX2" s="55"/>
      <c r="WLY2" s="55"/>
      <c r="WLZ2" s="55"/>
      <c r="WMA2" s="55"/>
      <c r="WMB2" s="55"/>
      <c r="WMC2" s="55"/>
      <c r="WMD2" s="55"/>
      <c r="WME2" s="55"/>
      <c r="WMF2" s="55"/>
      <c r="WMG2" s="55"/>
      <c r="WMH2" s="55"/>
      <c r="WMI2" s="55"/>
      <c r="WMJ2" s="55"/>
      <c r="WMK2" s="55"/>
      <c r="WML2" s="55"/>
      <c r="WMM2" s="55"/>
      <c r="WMN2" s="55"/>
      <c r="WMO2" s="55"/>
      <c r="WMP2" s="55"/>
      <c r="WMQ2" s="55"/>
      <c r="WMR2" s="55"/>
      <c r="WMS2" s="55"/>
      <c r="WMT2" s="55"/>
      <c r="WMU2" s="55"/>
      <c r="WMV2" s="55"/>
      <c r="WMW2" s="55"/>
      <c r="WMX2" s="55"/>
      <c r="WMY2" s="55"/>
      <c r="WMZ2" s="55"/>
      <c r="WNA2" s="55"/>
      <c r="WNB2" s="55"/>
      <c r="WNC2" s="55"/>
      <c r="WND2" s="55"/>
      <c r="WNE2" s="55"/>
      <c r="WNF2" s="55"/>
      <c r="WNG2" s="55"/>
      <c r="WNH2" s="55"/>
      <c r="WNI2" s="55"/>
      <c r="WNJ2" s="55"/>
      <c r="WNK2" s="55"/>
      <c r="WNL2" s="55"/>
      <c r="WNM2" s="55"/>
      <c r="WNN2" s="55"/>
      <c r="WNO2" s="55"/>
      <c r="WNP2" s="55"/>
      <c r="WNQ2" s="55"/>
      <c r="WNR2" s="55"/>
      <c r="WNS2" s="55"/>
      <c r="WNT2" s="55"/>
      <c r="WNU2" s="55"/>
      <c r="WNV2" s="55"/>
      <c r="WNW2" s="55"/>
      <c r="WNX2" s="55"/>
      <c r="WNY2" s="55"/>
      <c r="WNZ2" s="55"/>
      <c r="WOA2" s="55"/>
      <c r="WOB2" s="55"/>
      <c r="WOC2" s="55"/>
      <c r="WOD2" s="55"/>
      <c r="WOE2" s="55"/>
      <c r="WOF2" s="55"/>
      <c r="WOG2" s="55"/>
      <c r="WOH2" s="55"/>
      <c r="WOI2" s="55"/>
      <c r="WOJ2" s="55"/>
      <c r="WOK2" s="55"/>
      <c r="WOL2" s="55"/>
      <c r="WOM2" s="55"/>
      <c r="WON2" s="55"/>
      <c r="WOO2" s="55"/>
      <c r="WOP2" s="55"/>
      <c r="WOQ2" s="55"/>
      <c r="WOR2" s="55"/>
      <c r="WOS2" s="55"/>
      <c r="WOT2" s="55"/>
      <c r="WOU2" s="55"/>
      <c r="WOV2" s="55"/>
      <c r="WOW2" s="55"/>
      <c r="WOX2" s="55"/>
      <c r="WOY2" s="55"/>
      <c r="WOZ2" s="55"/>
      <c r="WPA2" s="55"/>
      <c r="WPB2" s="55"/>
      <c r="WPC2" s="55"/>
      <c r="WPD2" s="55"/>
      <c r="WPE2" s="55"/>
      <c r="WPF2" s="55"/>
      <c r="WPG2" s="55"/>
      <c r="WPH2" s="55"/>
      <c r="WPI2" s="55"/>
      <c r="WPJ2" s="55"/>
      <c r="WPK2" s="55"/>
      <c r="WPL2" s="55"/>
      <c r="WPM2" s="55"/>
      <c r="WPN2" s="55"/>
      <c r="WPO2" s="55"/>
      <c r="WPP2" s="55"/>
      <c r="WPQ2" s="55"/>
      <c r="WPR2" s="55"/>
      <c r="WPS2" s="55"/>
      <c r="WPT2" s="55"/>
      <c r="WPU2" s="55"/>
      <c r="WPV2" s="55"/>
      <c r="WPW2" s="55"/>
      <c r="WPX2" s="55"/>
      <c r="WPY2" s="55"/>
      <c r="WPZ2" s="55"/>
      <c r="WQA2" s="55"/>
      <c r="WQB2" s="55"/>
      <c r="WQC2" s="55"/>
      <c r="WQD2" s="55"/>
      <c r="WQE2" s="55"/>
      <c r="WQF2" s="55"/>
      <c r="WQG2" s="55"/>
      <c r="WQH2" s="55"/>
      <c r="WQI2" s="55"/>
      <c r="WQJ2" s="55"/>
      <c r="WQK2" s="55"/>
      <c r="WQL2" s="55"/>
      <c r="WQM2" s="55"/>
      <c r="WQN2" s="55"/>
      <c r="WQO2" s="55"/>
      <c r="WQP2" s="55"/>
      <c r="WQQ2" s="55"/>
      <c r="WQR2" s="55"/>
      <c r="WQS2" s="55"/>
      <c r="WQT2" s="55"/>
      <c r="WQU2" s="55"/>
      <c r="WQV2" s="55"/>
      <c r="WQW2" s="55"/>
      <c r="WQX2" s="55"/>
      <c r="WQY2" s="55"/>
      <c r="WQZ2" s="55"/>
      <c r="WRA2" s="55"/>
      <c r="WRB2" s="55"/>
      <c r="WRC2" s="55"/>
      <c r="WRD2" s="55"/>
      <c r="WRE2" s="55"/>
      <c r="WRF2" s="55"/>
      <c r="WRG2" s="55"/>
      <c r="WRH2" s="55"/>
      <c r="WRI2" s="55"/>
      <c r="WRJ2" s="55"/>
      <c r="WRK2" s="55"/>
      <c r="WRL2" s="55"/>
      <c r="WRM2" s="55"/>
      <c r="WRN2" s="55"/>
      <c r="WRO2" s="55"/>
      <c r="WRP2" s="55"/>
      <c r="WRQ2" s="55"/>
      <c r="WRR2" s="55"/>
      <c r="WRS2" s="55"/>
      <c r="WRT2" s="55"/>
      <c r="WRU2" s="55"/>
      <c r="WRV2" s="55"/>
      <c r="WRW2" s="55"/>
      <c r="WRX2" s="55"/>
      <c r="WRY2" s="55"/>
      <c r="WRZ2" s="55"/>
      <c r="WSA2" s="55"/>
      <c r="WSB2" s="55"/>
      <c r="WSC2" s="55"/>
      <c r="WSD2" s="55"/>
      <c r="WSE2" s="55"/>
      <c r="WSF2" s="55"/>
      <c r="WSG2" s="55"/>
      <c r="WSH2" s="55"/>
      <c r="WSI2" s="55"/>
      <c r="WSJ2" s="55"/>
      <c r="WSK2" s="55"/>
      <c r="WSL2" s="55"/>
      <c r="WSM2" s="55"/>
      <c r="WSN2" s="55"/>
      <c r="WSO2" s="55"/>
      <c r="WSP2" s="55"/>
      <c r="WSQ2" s="55"/>
      <c r="WSR2" s="55"/>
      <c r="WSS2" s="55"/>
      <c r="WST2" s="55"/>
      <c r="WSU2" s="55"/>
      <c r="WSV2" s="55"/>
      <c r="WSW2" s="55"/>
      <c r="WSX2" s="55"/>
      <c r="WSY2" s="55"/>
      <c r="WSZ2" s="55"/>
      <c r="WTA2" s="55"/>
      <c r="WTB2" s="55"/>
      <c r="WTC2" s="55"/>
      <c r="WTD2" s="55"/>
      <c r="WTE2" s="55"/>
      <c r="WTF2" s="55"/>
      <c r="WTG2" s="55"/>
      <c r="WTH2" s="55"/>
      <c r="WTI2" s="55"/>
      <c r="WTJ2" s="55"/>
      <c r="WTK2" s="55"/>
      <c r="WTL2" s="55"/>
      <c r="WTM2" s="55"/>
      <c r="WTN2" s="55"/>
      <c r="WTO2" s="55"/>
      <c r="WTP2" s="55"/>
      <c r="WTQ2" s="55"/>
      <c r="WTR2" s="55"/>
      <c r="WTS2" s="55"/>
      <c r="WTT2" s="55"/>
      <c r="WTU2" s="55"/>
      <c r="WTV2" s="55"/>
      <c r="WTW2" s="55"/>
      <c r="WTX2" s="55"/>
      <c r="WTY2" s="55"/>
      <c r="WTZ2" s="55"/>
      <c r="WUA2" s="55"/>
      <c r="WUB2" s="55"/>
      <c r="WUC2" s="55"/>
      <c r="WUD2" s="55"/>
      <c r="WUE2" s="55"/>
      <c r="WUF2" s="55"/>
      <c r="WUG2" s="55"/>
      <c r="WUH2" s="55"/>
      <c r="WUI2" s="55"/>
      <c r="WUJ2" s="55"/>
      <c r="WUK2" s="55"/>
      <c r="WUL2" s="55"/>
      <c r="WUM2" s="55"/>
      <c r="WUN2" s="55"/>
      <c r="WUO2" s="55"/>
      <c r="WUP2" s="55"/>
      <c r="WUQ2" s="55"/>
      <c r="WUR2" s="55"/>
      <c r="WUS2" s="55"/>
      <c r="WUT2" s="55"/>
      <c r="WUU2" s="55"/>
      <c r="WUV2" s="55"/>
      <c r="WUW2" s="55"/>
      <c r="WUX2" s="55"/>
      <c r="WUY2" s="55"/>
      <c r="WUZ2" s="55"/>
      <c r="WVA2" s="55"/>
      <c r="WVB2" s="55"/>
      <c r="WVC2" s="55"/>
      <c r="WVD2" s="55"/>
      <c r="WVE2" s="55"/>
      <c r="WVF2" s="55"/>
      <c r="WVG2" s="55"/>
      <c r="WVH2" s="55"/>
      <c r="WVI2" s="55"/>
      <c r="WVJ2" s="55"/>
      <c r="WVK2" s="55"/>
      <c r="WVL2" s="55"/>
      <c r="WVM2" s="55"/>
      <c r="WVN2" s="55"/>
      <c r="WVO2" s="55"/>
      <c r="WVP2" s="55"/>
      <c r="WVQ2" s="55"/>
      <c r="WVR2" s="55"/>
      <c r="WVS2" s="55"/>
      <c r="WVT2" s="55"/>
      <c r="WVU2" s="55"/>
      <c r="WVV2" s="55"/>
      <c r="WVW2" s="55"/>
      <c r="WVX2" s="55"/>
      <c r="WVY2" s="55"/>
      <c r="WVZ2" s="55"/>
      <c r="WWA2" s="55"/>
      <c r="WWB2" s="55"/>
      <c r="WWC2" s="55"/>
      <c r="WWD2" s="55"/>
      <c r="WWE2" s="55"/>
      <c r="WWF2" s="55"/>
      <c r="WWG2" s="55"/>
      <c r="WWH2" s="55"/>
      <c r="WWI2" s="55"/>
      <c r="WWJ2" s="55"/>
      <c r="WWK2" s="55"/>
      <c r="WWL2" s="55"/>
      <c r="WWM2" s="55"/>
      <c r="WWN2" s="55"/>
      <c r="WWO2" s="55"/>
      <c r="WWP2" s="55"/>
      <c r="WWQ2" s="55"/>
      <c r="WWR2" s="55"/>
      <c r="WWS2" s="55"/>
      <c r="WWT2" s="55"/>
      <c r="WWU2" s="55"/>
      <c r="WWV2" s="55"/>
      <c r="WWW2" s="55"/>
      <c r="WWX2" s="55"/>
      <c r="WWY2" s="55"/>
      <c r="WWZ2" s="55"/>
      <c r="WXA2" s="55"/>
      <c r="WXB2" s="55"/>
      <c r="WXC2" s="55"/>
      <c r="WXD2" s="55"/>
      <c r="WXE2" s="55"/>
      <c r="WXF2" s="55"/>
      <c r="WXG2" s="55"/>
      <c r="WXH2" s="55"/>
      <c r="WXI2" s="55"/>
      <c r="WXJ2" s="55"/>
      <c r="WXK2" s="55"/>
      <c r="WXL2" s="55"/>
      <c r="WXM2" s="55"/>
      <c r="WXN2" s="55"/>
      <c r="WXO2" s="55"/>
      <c r="WXP2" s="55"/>
      <c r="WXQ2" s="55"/>
      <c r="WXR2" s="55"/>
      <c r="WXS2" s="55"/>
      <c r="WXT2" s="55"/>
      <c r="WXU2" s="55"/>
      <c r="WXV2" s="55"/>
      <c r="WXW2" s="55"/>
      <c r="WXX2" s="55"/>
      <c r="WXY2" s="55"/>
      <c r="WXZ2" s="55"/>
      <c r="WYA2" s="55"/>
      <c r="WYB2" s="55"/>
      <c r="WYC2" s="55"/>
      <c r="WYD2" s="55"/>
      <c r="WYE2" s="55"/>
      <c r="WYF2" s="55"/>
      <c r="WYG2" s="55"/>
      <c r="WYH2" s="55"/>
      <c r="WYI2" s="55"/>
      <c r="WYJ2" s="55"/>
      <c r="WYK2" s="55"/>
      <c r="WYL2" s="55"/>
      <c r="WYM2" s="55"/>
      <c r="WYN2" s="55"/>
      <c r="WYO2" s="55"/>
      <c r="WYP2" s="55"/>
      <c r="WYQ2" s="55"/>
      <c r="WYR2" s="55"/>
      <c r="WYS2" s="55"/>
      <c r="WYT2" s="55"/>
      <c r="WYU2" s="55"/>
      <c r="WYV2" s="55"/>
      <c r="WYW2" s="55"/>
      <c r="WYX2" s="55"/>
      <c r="WYY2" s="55"/>
      <c r="WYZ2" s="55"/>
      <c r="WZA2" s="55"/>
      <c r="WZB2" s="55"/>
      <c r="WZC2" s="55"/>
      <c r="WZD2" s="55"/>
      <c r="WZE2" s="55"/>
      <c r="WZF2" s="55"/>
      <c r="WZG2" s="55"/>
      <c r="WZH2" s="55"/>
      <c r="WZI2" s="55"/>
      <c r="WZJ2" s="55"/>
      <c r="WZK2" s="55"/>
      <c r="WZL2" s="55"/>
      <c r="WZM2" s="55"/>
      <c r="WZN2" s="55"/>
      <c r="WZO2" s="55"/>
      <c r="WZP2" s="55"/>
      <c r="WZQ2" s="55"/>
      <c r="WZR2" s="55"/>
      <c r="WZS2" s="55"/>
      <c r="WZT2" s="55"/>
      <c r="WZU2" s="55"/>
      <c r="WZV2" s="55"/>
      <c r="WZW2" s="55"/>
      <c r="WZX2" s="55"/>
      <c r="WZY2" s="55"/>
      <c r="WZZ2" s="55"/>
      <c r="XAA2" s="55"/>
      <c r="XAB2" s="55"/>
      <c r="XAC2" s="55"/>
      <c r="XAD2" s="55"/>
      <c r="XAE2" s="55"/>
      <c r="XAF2" s="55"/>
      <c r="XAG2" s="55"/>
      <c r="XAH2" s="55"/>
      <c r="XAI2" s="55"/>
      <c r="XAJ2" s="55"/>
      <c r="XAK2" s="55"/>
      <c r="XAL2" s="55"/>
      <c r="XAM2" s="55"/>
      <c r="XAN2" s="55"/>
      <c r="XAO2" s="55"/>
      <c r="XAP2" s="55"/>
      <c r="XAQ2" s="55"/>
      <c r="XAR2" s="55"/>
      <c r="XAS2" s="55"/>
      <c r="XAT2" s="55"/>
      <c r="XAU2" s="55"/>
      <c r="XAV2" s="55"/>
      <c r="XAW2" s="55"/>
      <c r="XAX2" s="55"/>
      <c r="XAY2" s="55"/>
      <c r="XAZ2" s="55"/>
      <c r="XBA2" s="55"/>
      <c r="XBB2" s="55"/>
      <c r="XBC2" s="55"/>
      <c r="XBD2" s="55"/>
      <c r="XBE2" s="55"/>
      <c r="XBF2" s="55"/>
      <c r="XBG2" s="55"/>
      <c r="XBH2" s="55"/>
      <c r="XBI2" s="55"/>
      <c r="XBJ2" s="55"/>
      <c r="XBK2" s="55"/>
      <c r="XBL2" s="55"/>
      <c r="XBM2" s="55"/>
      <c r="XBN2" s="55"/>
      <c r="XBO2" s="55"/>
      <c r="XBP2" s="55"/>
      <c r="XBQ2" s="55"/>
      <c r="XBR2" s="55"/>
      <c r="XBS2" s="55"/>
      <c r="XBT2" s="55"/>
      <c r="XBU2" s="55"/>
      <c r="XBV2" s="55"/>
      <c r="XBW2" s="55"/>
      <c r="XBX2" s="55"/>
      <c r="XBY2" s="55"/>
      <c r="XBZ2" s="55"/>
      <c r="XCA2" s="55"/>
      <c r="XCB2" s="55"/>
      <c r="XCC2" s="55"/>
      <c r="XCD2" s="55"/>
      <c r="XCE2" s="55"/>
      <c r="XCF2" s="55"/>
      <c r="XCG2" s="55"/>
      <c r="XCH2" s="55"/>
      <c r="XCI2" s="55"/>
      <c r="XCJ2" s="55"/>
      <c r="XCK2" s="55"/>
      <c r="XCL2" s="55"/>
      <c r="XCM2" s="55"/>
      <c r="XCN2" s="55"/>
      <c r="XCO2" s="55"/>
      <c r="XCP2" s="55"/>
      <c r="XCQ2" s="55"/>
      <c r="XCR2" s="55"/>
      <c r="XCS2" s="55"/>
      <c r="XCT2" s="55"/>
      <c r="XCU2" s="55"/>
      <c r="XCV2" s="55"/>
      <c r="XCW2" s="55"/>
      <c r="XCX2" s="55"/>
      <c r="XCY2" s="55"/>
      <c r="XCZ2" s="55"/>
      <c r="XDA2" s="55"/>
      <c r="XDB2" s="55"/>
      <c r="XDC2" s="55"/>
      <c r="XDD2" s="55"/>
      <c r="XDE2" s="55"/>
      <c r="XDF2" s="55"/>
      <c r="XDG2" s="55"/>
      <c r="XDH2" s="55"/>
      <c r="XDI2" s="55"/>
      <c r="XDJ2" s="55"/>
      <c r="XDK2" s="55"/>
      <c r="XDL2" s="55"/>
      <c r="XDM2" s="55"/>
      <c r="XDN2" s="55"/>
      <c r="XDO2" s="55"/>
      <c r="XDP2" s="55"/>
      <c r="XDQ2" s="55"/>
      <c r="XDR2" s="55"/>
      <c r="XDS2" s="55"/>
      <c r="XDT2" s="55"/>
      <c r="XDU2" s="55"/>
      <c r="XDV2" s="55"/>
      <c r="XDW2" s="55"/>
      <c r="XDX2" s="55"/>
      <c r="XDY2" s="55"/>
      <c r="XDZ2" s="55"/>
      <c r="XEA2" s="55"/>
      <c r="XEB2" s="55"/>
      <c r="XEC2" s="55"/>
      <c r="XED2" s="55"/>
      <c r="XEE2" s="55"/>
      <c r="XEF2" s="55"/>
      <c r="XEG2" s="55"/>
      <c r="XEH2" s="55"/>
      <c r="XEI2" s="55"/>
      <c r="XEJ2" s="55"/>
      <c r="XEK2" s="55"/>
      <c r="XEL2" s="55"/>
      <c r="XEM2" s="55"/>
      <c r="XEN2" s="55"/>
      <c r="XEO2" s="55"/>
      <c r="XEP2" s="55"/>
      <c r="XEQ2" s="55"/>
      <c r="XER2" s="55"/>
      <c r="XES2" s="55"/>
      <c r="XET2" s="55"/>
      <c r="XEU2" s="55"/>
      <c r="XEV2" s="55"/>
      <c r="XEW2" s="55"/>
      <c r="XEX2" s="55"/>
      <c r="XEY2" s="55"/>
      <c r="XEZ2" s="55"/>
      <c r="XFA2" s="55"/>
      <c r="XFB2" s="55"/>
      <c r="XFC2" s="55"/>
      <c r="XFD2" s="55"/>
    </row>
    <row r="3" spans="1:16384" ht="15" x14ac:dyDescent="0.25">
      <c r="A3" t="s">
        <v>161</v>
      </c>
      <c r="B3">
        <v>147.811354708604</v>
      </c>
      <c r="C3">
        <v>189.67397877901101</v>
      </c>
      <c r="D3">
        <v>127.57945586544299</v>
      </c>
      <c r="E3"/>
      <c r="F3"/>
      <c r="G3"/>
      <c r="H3"/>
      <c r="I3"/>
      <c r="J3"/>
      <c r="K3"/>
      <c r="L3"/>
      <c r="M3"/>
      <c r="N3"/>
      <c r="O3"/>
      <c r="P3"/>
      <c r="Q3"/>
      <c r="R3"/>
    </row>
    <row r="4" spans="1:16384" ht="15" x14ac:dyDescent="0.25">
      <c r="A4" t="s">
        <v>151</v>
      </c>
      <c r="B4">
        <v>118.00905285128199</v>
      </c>
      <c r="C4">
        <v>149.68117815924501</v>
      </c>
      <c r="D4">
        <v>99.653982388018505</v>
      </c>
      <c r="E4"/>
      <c r="F4"/>
      <c r="G4"/>
      <c r="H4"/>
      <c r="I4"/>
      <c r="J4"/>
      <c r="K4"/>
      <c r="L4"/>
      <c r="M4"/>
      <c r="N4"/>
      <c r="O4"/>
      <c r="P4"/>
      <c r="Q4"/>
      <c r="R4"/>
    </row>
    <row r="5" spans="1:16384" ht="15" x14ac:dyDescent="0.25">
      <c r="A5" t="s">
        <v>165</v>
      </c>
      <c r="B5">
        <v>73.649664919071398</v>
      </c>
      <c r="C5">
        <v>90.1527713787669</v>
      </c>
      <c r="D5">
        <v>61.6613522025363</v>
      </c>
      <c r="E5"/>
      <c r="F5"/>
      <c r="G5"/>
      <c r="H5"/>
      <c r="I5"/>
      <c r="J5"/>
      <c r="K5"/>
      <c r="L5"/>
      <c r="M5"/>
      <c r="N5"/>
      <c r="O5"/>
      <c r="P5"/>
      <c r="Q5"/>
      <c r="R5"/>
    </row>
    <row r="6" spans="1:16384" ht="15" x14ac:dyDescent="0.25">
      <c r="A6" t="s">
        <v>175</v>
      </c>
      <c r="B6">
        <v>67.087907612342207</v>
      </c>
      <c r="C6">
        <v>81.638091203831706</v>
      </c>
      <c r="D6">
        <v>57.1604708437875</v>
      </c>
      <c r="E6"/>
      <c r="F6"/>
      <c r="G6"/>
      <c r="H6"/>
      <c r="I6"/>
      <c r="J6"/>
      <c r="K6"/>
      <c r="L6"/>
      <c r="M6"/>
      <c r="N6"/>
      <c r="O6"/>
      <c r="P6"/>
      <c r="Q6"/>
      <c r="R6"/>
    </row>
    <row r="7" spans="1:16384" ht="15" x14ac:dyDescent="0.25">
      <c r="A7" t="s">
        <v>163</v>
      </c>
      <c r="B7">
        <v>51.631043555467997</v>
      </c>
      <c r="C7">
        <v>63.6954839877965</v>
      </c>
      <c r="D7">
        <v>42.894908205521602</v>
      </c>
      <c r="E7"/>
      <c r="F7"/>
      <c r="G7"/>
      <c r="H7"/>
      <c r="I7"/>
      <c r="J7"/>
      <c r="K7"/>
      <c r="L7"/>
      <c r="M7"/>
      <c r="N7"/>
      <c r="O7"/>
      <c r="P7"/>
      <c r="Q7"/>
      <c r="R7"/>
    </row>
    <row r="8" spans="1:16384" ht="15" x14ac:dyDescent="0.25">
      <c r="A8" t="s">
        <v>239</v>
      </c>
      <c r="B8">
        <v>47.4237580592429</v>
      </c>
      <c r="C8">
        <v>43.3092377651286</v>
      </c>
      <c r="D8">
        <v>40.019781140909302</v>
      </c>
      <c r="E8"/>
      <c r="F8"/>
      <c r="G8"/>
      <c r="H8"/>
      <c r="I8"/>
      <c r="J8"/>
      <c r="K8"/>
      <c r="L8"/>
      <c r="M8"/>
      <c r="N8"/>
      <c r="O8"/>
      <c r="P8"/>
      <c r="Q8"/>
      <c r="R8"/>
    </row>
    <row r="9" spans="1:16384" ht="15" x14ac:dyDescent="0.25">
      <c r="A9" t="s">
        <v>159</v>
      </c>
      <c r="B9">
        <v>36.246897602984198</v>
      </c>
      <c r="C9">
        <v>44.605206737070802</v>
      </c>
      <c r="D9">
        <v>30.128054340455801</v>
      </c>
      <c r="E9"/>
      <c r="F9"/>
      <c r="G9"/>
      <c r="H9"/>
      <c r="I9"/>
      <c r="J9"/>
      <c r="K9"/>
      <c r="L9"/>
      <c r="M9"/>
      <c r="N9"/>
      <c r="O9"/>
      <c r="P9"/>
      <c r="Q9"/>
      <c r="R9"/>
    </row>
    <row r="10" spans="1:16384" ht="15" x14ac:dyDescent="0.25">
      <c r="A10" t="s">
        <v>173</v>
      </c>
      <c r="B10">
        <v>33.946939279992499</v>
      </c>
      <c r="C10">
        <v>43.224289171946303</v>
      </c>
      <c r="D10">
        <v>29.004232727423801</v>
      </c>
      <c r="E10"/>
      <c r="F10"/>
      <c r="G10"/>
      <c r="H10"/>
      <c r="I10"/>
      <c r="J10"/>
      <c r="K10"/>
      <c r="L10"/>
      <c r="M10"/>
      <c r="N10"/>
      <c r="O10"/>
      <c r="P10"/>
      <c r="Q10"/>
      <c r="R10"/>
    </row>
    <row r="11" spans="1:16384" ht="15" x14ac:dyDescent="0.25">
      <c r="A11" t="s">
        <v>260</v>
      </c>
      <c r="B11">
        <v>35.893523683256603</v>
      </c>
      <c r="C11">
        <v>34.259368715616802</v>
      </c>
      <c r="D11">
        <v>30.982698748183601</v>
      </c>
      <c r="E11"/>
      <c r="F11"/>
      <c r="G11"/>
      <c r="H11"/>
      <c r="I11"/>
      <c r="J11"/>
      <c r="K11"/>
      <c r="L11"/>
      <c r="M11"/>
      <c r="N11"/>
      <c r="O11"/>
      <c r="P11"/>
      <c r="Q11"/>
      <c r="R11"/>
    </row>
    <row r="12" spans="1:16384" ht="15" x14ac:dyDescent="0.25">
      <c r="A12" t="s">
        <v>110</v>
      </c>
      <c r="B12">
        <v>48.1735927237482</v>
      </c>
      <c r="C12">
        <v>48.702414672139497</v>
      </c>
      <c r="D12">
        <v>49.686827370255301</v>
      </c>
      <c r="E12"/>
      <c r="F12"/>
      <c r="G12"/>
      <c r="H12"/>
      <c r="I12"/>
      <c r="J12"/>
      <c r="K12"/>
      <c r="L12"/>
      <c r="M12"/>
      <c r="N12"/>
      <c r="O12"/>
      <c r="P12"/>
      <c r="Q12"/>
      <c r="R12"/>
    </row>
    <row r="13" spans="1:16384" ht="15" x14ac:dyDescent="0.25">
      <c r="A13" t="s">
        <v>179</v>
      </c>
      <c r="B13">
        <v>22.458273633181602</v>
      </c>
      <c r="C13">
        <v>28.171668635998302</v>
      </c>
      <c r="D13">
        <v>19.354087585110999</v>
      </c>
      <c r="E13"/>
      <c r="F13"/>
      <c r="G13"/>
      <c r="H13"/>
      <c r="I13"/>
      <c r="J13"/>
      <c r="K13"/>
      <c r="L13"/>
      <c r="M13"/>
      <c r="N13"/>
      <c r="O13"/>
      <c r="P13"/>
      <c r="Q13"/>
      <c r="R13"/>
    </row>
    <row r="14" spans="1:16384" ht="15" x14ac:dyDescent="0.25">
      <c r="A14" t="s">
        <v>261</v>
      </c>
      <c r="B14">
        <v>25.870509487137799</v>
      </c>
      <c r="C14">
        <v>24.122594587719</v>
      </c>
      <c r="D14">
        <v>21.900294715851899</v>
      </c>
      <c r="E14"/>
      <c r="F14"/>
      <c r="G14"/>
      <c r="H14"/>
      <c r="I14"/>
      <c r="J14"/>
      <c r="K14"/>
      <c r="L14"/>
      <c r="M14"/>
      <c r="N14"/>
      <c r="O14"/>
      <c r="P14"/>
      <c r="Q14"/>
      <c r="R14"/>
    </row>
    <row r="15" spans="1:16384" ht="15" x14ac:dyDescent="0.25">
      <c r="A15" t="s">
        <v>253</v>
      </c>
      <c r="B15">
        <v>19.415491255375301</v>
      </c>
      <c r="C15">
        <v>19.1508709892836</v>
      </c>
      <c r="D15">
        <v>16.542840645553401</v>
      </c>
      <c r="E15"/>
      <c r="F15"/>
      <c r="G15"/>
      <c r="H15"/>
      <c r="I15"/>
      <c r="J15"/>
      <c r="K15"/>
      <c r="L15"/>
      <c r="M15"/>
      <c r="N15"/>
      <c r="O15"/>
      <c r="P15"/>
      <c r="Q15"/>
      <c r="R15"/>
    </row>
    <row r="16" spans="1:16384" ht="15" x14ac:dyDescent="0.25">
      <c r="A16" t="s">
        <v>228</v>
      </c>
      <c r="B16">
        <v>16.876153666178499</v>
      </c>
      <c r="C16">
        <v>15.9917250468894</v>
      </c>
      <c r="D16">
        <v>14.6099769573659</v>
      </c>
      <c r="E16"/>
      <c r="F16"/>
      <c r="G16"/>
      <c r="H16"/>
      <c r="I16"/>
      <c r="J16"/>
      <c r="K16"/>
      <c r="L16"/>
      <c r="M16"/>
      <c r="N16"/>
      <c r="O16"/>
      <c r="P16"/>
      <c r="Q16"/>
      <c r="R16"/>
    </row>
    <row r="17" spans="1:18" ht="15" x14ac:dyDescent="0.25">
      <c r="A17" t="s">
        <v>254</v>
      </c>
      <c r="B17">
        <v>16.126317668333702</v>
      </c>
      <c r="C17">
        <v>14.631701084364201</v>
      </c>
      <c r="D17">
        <v>13.0965273689499</v>
      </c>
      <c r="E17"/>
      <c r="F17"/>
      <c r="G17"/>
      <c r="H17"/>
      <c r="I17"/>
      <c r="J17"/>
      <c r="K17"/>
      <c r="L17"/>
      <c r="M17"/>
      <c r="N17"/>
      <c r="O17"/>
      <c r="P17"/>
      <c r="Q17"/>
      <c r="R17"/>
    </row>
    <row r="18" spans="1:18" ht="15" x14ac:dyDescent="0.25">
      <c r="A18" t="s">
        <v>149</v>
      </c>
      <c r="B18">
        <v>12.9184280736683</v>
      </c>
      <c r="C18">
        <v>16.950148234520999</v>
      </c>
      <c r="D18">
        <v>11.729318373288001</v>
      </c>
      <c r="E18"/>
      <c r="F18"/>
      <c r="G18"/>
      <c r="H18"/>
      <c r="I18"/>
      <c r="J18"/>
      <c r="K18"/>
      <c r="L18"/>
      <c r="M18"/>
      <c r="N18"/>
      <c r="O18"/>
      <c r="P18"/>
      <c r="Q18"/>
      <c r="R18"/>
    </row>
    <row r="19" spans="1:18" ht="15" x14ac:dyDescent="0.25">
      <c r="A19" t="s">
        <v>177</v>
      </c>
      <c r="B19">
        <v>11.0613684316292</v>
      </c>
      <c r="C19">
        <v>13.8142490894388</v>
      </c>
      <c r="D19">
        <v>9.46465993741589</v>
      </c>
      <c r="E19"/>
      <c r="F19"/>
      <c r="G19"/>
      <c r="H19"/>
      <c r="I19"/>
      <c r="J19"/>
      <c r="K19"/>
      <c r="L19"/>
      <c r="M19"/>
      <c r="N19"/>
      <c r="O19"/>
      <c r="P19"/>
      <c r="Q19"/>
      <c r="R19"/>
    </row>
    <row r="20" spans="1:18" ht="15" x14ac:dyDescent="0.25">
      <c r="A20" t="s">
        <v>187</v>
      </c>
      <c r="B20">
        <v>10.841712216597999</v>
      </c>
      <c r="C20">
        <v>13.2976937724489</v>
      </c>
      <c r="D20">
        <v>8.8883908702574104</v>
      </c>
      <c r="E20"/>
      <c r="F20"/>
      <c r="G20"/>
      <c r="H20"/>
      <c r="I20"/>
      <c r="J20"/>
      <c r="K20"/>
      <c r="L20"/>
      <c r="M20"/>
      <c r="N20"/>
      <c r="O20"/>
      <c r="P20"/>
      <c r="Q20"/>
      <c r="R20"/>
    </row>
    <row r="21" spans="1:18" ht="15" x14ac:dyDescent="0.25">
      <c r="A21" t="s">
        <v>443</v>
      </c>
      <c r="B21">
        <v>5.2918869568339204</v>
      </c>
      <c r="C21">
        <v>5.6309090222441496</v>
      </c>
      <c r="D21">
        <v>5.3346636603844102</v>
      </c>
      <c r="E21"/>
      <c r="F21"/>
      <c r="G21"/>
      <c r="H21"/>
      <c r="I21"/>
      <c r="J21"/>
      <c r="K21"/>
      <c r="L21"/>
      <c r="M21"/>
      <c r="N21"/>
      <c r="O21"/>
      <c r="P21"/>
      <c r="Q21"/>
      <c r="R21"/>
    </row>
    <row r="22" spans="1:18" ht="15" x14ac:dyDescent="0.25">
      <c r="A22" t="s">
        <v>116</v>
      </c>
      <c r="B22">
        <v>20.295239086366301</v>
      </c>
      <c r="C22">
        <v>20.167723834894701</v>
      </c>
      <c r="D22">
        <v>18.5770623298129</v>
      </c>
      <c r="E22"/>
      <c r="F22"/>
      <c r="G22"/>
      <c r="H22"/>
      <c r="I22"/>
      <c r="J22"/>
      <c r="K22"/>
      <c r="L22"/>
      <c r="M22"/>
      <c r="N22"/>
      <c r="O22"/>
      <c r="P22"/>
      <c r="Q22"/>
      <c r="R22"/>
    </row>
    <row r="23" spans="1:18" ht="15" x14ac:dyDescent="0.25">
      <c r="A23" t="s">
        <v>144</v>
      </c>
      <c r="B23">
        <v>8.8641152743019198</v>
      </c>
      <c r="C23">
        <v>10.8393808726097</v>
      </c>
      <c r="D23">
        <v>7.2421724787194703</v>
      </c>
      <c r="E23"/>
      <c r="F23"/>
      <c r="G23"/>
      <c r="H23"/>
      <c r="I23"/>
      <c r="J23"/>
      <c r="K23"/>
      <c r="L23"/>
      <c r="M23"/>
      <c r="N23"/>
      <c r="O23"/>
      <c r="P23"/>
      <c r="Q23"/>
      <c r="R23"/>
    </row>
    <row r="24" spans="1:18" ht="15" x14ac:dyDescent="0.25">
      <c r="A24" t="s">
        <v>444</v>
      </c>
      <c r="B24">
        <v>8.7258156953528303</v>
      </c>
      <c r="C24">
        <v>10.5115807825606</v>
      </c>
      <c r="D24">
        <v>7.2011863145852999</v>
      </c>
      <c r="E24"/>
      <c r="F24"/>
      <c r="G24"/>
      <c r="H24"/>
      <c r="I24"/>
      <c r="J24"/>
      <c r="K24"/>
      <c r="L24"/>
      <c r="M24"/>
      <c r="N24"/>
      <c r="O24"/>
      <c r="P24"/>
      <c r="Q24"/>
      <c r="R24"/>
    </row>
    <row r="25" spans="1:18" ht="15" x14ac:dyDescent="0.25">
      <c r="A25" t="s">
        <v>244</v>
      </c>
      <c r="B25">
        <v>9.9470677508422796</v>
      </c>
      <c r="C25">
        <v>8.8464446211085299</v>
      </c>
      <c r="D25">
        <v>8.1528469541017792</v>
      </c>
      <c r="E25"/>
      <c r="F25"/>
      <c r="G25"/>
      <c r="H25"/>
      <c r="I25"/>
      <c r="J25"/>
      <c r="K25"/>
      <c r="L25"/>
      <c r="M25"/>
      <c r="N25"/>
      <c r="O25"/>
      <c r="P25"/>
      <c r="Q25"/>
      <c r="R25"/>
    </row>
    <row r="26" spans="1:18" ht="15" x14ac:dyDescent="0.25">
      <c r="A26" t="s">
        <v>248</v>
      </c>
      <c r="B26">
        <v>9.9310695357592707</v>
      </c>
      <c r="C26">
        <v>9.2525099373549207</v>
      </c>
      <c r="D26">
        <v>8.1949761341575105</v>
      </c>
      <c r="E26"/>
      <c r="F26"/>
      <c r="G26"/>
      <c r="H26"/>
      <c r="I26"/>
      <c r="J26"/>
      <c r="K26"/>
      <c r="L26"/>
      <c r="M26"/>
      <c r="N26"/>
      <c r="O26"/>
      <c r="P26"/>
      <c r="Q26"/>
      <c r="R26"/>
    </row>
    <row r="27" spans="1:18" ht="15" x14ac:dyDescent="0.25">
      <c r="A27" t="s">
        <v>167</v>
      </c>
      <c r="B27">
        <v>8.2647629762662902</v>
      </c>
      <c r="C27">
        <v>9.6349198204609703</v>
      </c>
      <c r="D27">
        <v>6.71826330728382</v>
      </c>
      <c r="E27"/>
      <c r="F27"/>
      <c r="G27"/>
      <c r="H27"/>
      <c r="I27"/>
      <c r="J27"/>
      <c r="K27"/>
      <c r="L27"/>
      <c r="M27"/>
      <c r="N27"/>
      <c r="O27"/>
      <c r="P27"/>
      <c r="Q27"/>
      <c r="R27"/>
    </row>
    <row r="28" spans="1:18" ht="15" x14ac:dyDescent="0.25">
      <c r="A28" t="s">
        <v>259</v>
      </c>
      <c r="B28">
        <v>9.3482365519979496</v>
      </c>
      <c r="C28">
        <v>7.9948525455528401</v>
      </c>
      <c r="D28">
        <v>6.7810690098662603</v>
      </c>
      <c r="E28"/>
      <c r="F28"/>
      <c r="G28"/>
      <c r="H28"/>
      <c r="I28"/>
      <c r="J28"/>
      <c r="K28"/>
      <c r="L28"/>
      <c r="M28"/>
      <c r="N28"/>
      <c r="O28"/>
      <c r="P28"/>
      <c r="Q28"/>
      <c r="R28"/>
    </row>
    <row r="29" spans="1:18" ht="15" x14ac:dyDescent="0.25">
      <c r="A29" t="s">
        <v>445</v>
      </c>
      <c r="B29">
        <v>7.8359945391807102</v>
      </c>
      <c r="C29">
        <v>8.8540179632201994</v>
      </c>
      <c r="D29">
        <v>6.1812761994916698</v>
      </c>
      <c r="E29"/>
      <c r="F29"/>
      <c r="G29"/>
      <c r="H29"/>
      <c r="I29"/>
      <c r="J29"/>
      <c r="K29"/>
      <c r="L29"/>
      <c r="M29"/>
      <c r="N29"/>
      <c r="O29"/>
      <c r="P29"/>
      <c r="Q29"/>
      <c r="R29"/>
    </row>
    <row r="30" spans="1:18" ht="15" x14ac:dyDescent="0.25">
      <c r="A30" t="s">
        <v>119</v>
      </c>
      <c r="B30">
        <v>15.7810407441892</v>
      </c>
      <c r="C30">
        <v>15.962386496856899</v>
      </c>
      <c r="D30">
        <v>16.321485081042798</v>
      </c>
      <c r="E30"/>
      <c r="F30"/>
      <c r="G30"/>
      <c r="H30"/>
      <c r="I30"/>
      <c r="J30"/>
      <c r="K30"/>
      <c r="L30"/>
      <c r="M30"/>
      <c r="N30"/>
      <c r="O30"/>
      <c r="P30"/>
      <c r="Q30"/>
      <c r="R30"/>
    </row>
    <row r="31" spans="1:18" ht="15" x14ac:dyDescent="0.25">
      <c r="A31" t="s">
        <v>142</v>
      </c>
      <c r="B31">
        <v>7.3895232953183099</v>
      </c>
      <c r="C31">
        <v>8.85938414462872</v>
      </c>
      <c r="D31">
        <v>6.1481034077032799</v>
      </c>
      <c r="E31"/>
      <c r="F31"/>
      <c r="G31"/>
      <c r="H31"/>
      <c r="I31"/>
      <c r="J31"/>
      <c r="K31"/>
      <c r="L31"/>
      <c r="M31"/>
      <c r="N31"/>
      <c r="O31"/>
      <c r="P31"/>
      <c r="Q31"/>
      <c r="R31"/>
    </row>
    <row r="32" spans="1:18" ht="15" x14ac:dyDescent="0.25">
      <c r="A32" t="s">
        <v>240</v>
      </c>
      <c r="B32">
        <v>8.2774802681394597</v>
      </c>
      <c r="C32">
        <v>7.8198304448754996</v>
      </c>
      <c r="D32">
        <v>6.7403237531623104</v>
      </c>
      <c r="E32"/>
      <c r="F32"/>
      <c r="G32"/>
      <c r="H32"/>
      <c r="I32"/>
      <c r="J32"/>
      <c r="K32"/>
      <c r="L32"/>
      <c r="M32"/>
      <c r="N32"/>
      <c r="O32"/>
      <c r="P32"/>
      <c r="Q32"/>
      <c r="R32"/>
    </row>
    <row r="33" spans="1:18" ht="15" x14ac:dyDescent="0.25">
      <c r="A33" t="s">
        <v>224</v>
      </c>
      <c r="B33">
        <v>6.8955527638841803</v>
      </c>
      <c r="C33">
        <v>6.2812345774939997</v>
      </c>
      <c r="D33">
        <v>5.8362435812475804</v>
      </c>
      <c r="E33"/>
      <c r="F33"/>
      <c r="G33"/>
      <c r="H33"/>
      <c r="I33"/>
      <c r="J33"/>
      <c r="K33"/>
      <c r="L33"/>
      <c r="M33"/>
      <c r="N33"/>
      <c r="O33"/>
      <c r="P33"/>
      <c r="Q33"/>
      <c r="R33"/>
    </row>
    <row r="34" spans="1:18" ht="15" x14ac:dyDescent="0.25">
      <c r="A34" t="s">
        <v>207</v>
      </c>
      <c r="B34">
        <v>2.99163310323708</v>
      </c>
      <c r="C34">
        <v>3.3556498910853501</v>
      </c>
      <c r="D34">
        <v>3.1142125174709001</v>
      </c>
      <c r="E34"/>
      <c r="F34"/>
      <c r="G34"/>
      <c r="H34"/>
      <c r="I34"/>
      <c r="J34"/>
      <c r="K34"/>
      <c r="L34"/>
      <c r="M34"/>
      <c r="N34"/>
      <c r="O34"/>
      <c r="P34"/>
      <c r="Q34"/>
      <c r="R34"/>
    </row>
    <row r="35" spans="1:18" ht="15" x14ac:dyDescent="0.25">
      <c r="A35" t="s">
        <v>256</v>
      </c>
      <c r="B35">
        <v>6.5665171317764903</v>
      </c>
      <c r="C35">
        <v>5.8219348109517597</v>
      </c>
      <c r="D35">
        <v>4.6680692115856299</v>
      </c>
      <c r="E35"/>
      <c r="F35"/>
      <c r="G35"/>
      <c r="H35"/>
      <c r="I35"/>
      <c r="J35"/>
      <c r="K35"/>
      <c r="L35"/>
      <c r="M35"/>
      <c r="N35"/>
      <c r="O35"/>
      <c r="P35"/>
      <c r="Q35"/>
      <c r="R35"/>
    </row>
    <row r="36" spans="1:18" ht="15" x14ac:dyDescent="0.25">
      <c r="A36" t="s">
        <v>446</v>
      </c>
      <c r="B36">
        <v>2.7264866434162598</v>
      </c>
      <c r="C36">
        <v>3.0246520241323198</v>
      </c>
      <c r="D36">
        <v>3.0677533660281502</v>
      </c>
      <c r="E36"/>
      <c r="F36"/>
      <c r="G36"/>
      <c r="H36"/>
      <c r="I36"/>
      <c r="J36"/>
      <c r="K36"/>
      <c r="L36"/>
      <c r="M36"/>
      <c r="N36"/>
      <c r="O36"/>
      <c r="P36"/>
      <c r="Q36"/>
      <c r="R36"/>
    </row>
    <row r="37" spans="1:18" ht="15" x14ac:dyDescent="0.25">
      <c r="A37" t="s">
        <v>447</v>
      </c>
      <c r="B37">
        <v>5.1498562784228197</v>
      </c>
      <c r="C37">
        <v>6.2831557938715701</v>
      </c>
      <c r="D37">
        <v>4.2562896911300596</v>
      </c>
      <c r="E37"/>
      <c r="F37"/>
      <c r="G37"/>
      <c r="H37"/>
      <c r="I37"/>
      <c r="J37"/>
      <c r="K37"/>
      <c r="L37"/>
      <c r="M37"/>
      <c r="N37"/>
      <c r="O37"/>
      <c r="P37"/>
      <c r="Q37"/>
      <c r="R37"/>
    </row>
    <row r="38" spans="1:18" ht="15" x14ac:dyDescent="0.25">
      <c r="A38" t="s">
        <v>257</v>
      </c>
      <c r="B38">
        <v>5.7726249074757101</v>
      </c>
      <c r="C38">
        <v>5.0253365980856701</v>
      </c>
      <c r="D38">
        <v>4.7069596779685199</v>
      </c>
      <c r="E38"/>
      <c r="F38"/>
      <c r="G38"/>
      <c r="H38"/>
      <c r="I38"/>
      <c r="J38"/>
      <c r="K38"/>
      <c r="L38"/>
      <c r="M38"/>
      <c r="N38"/>
      <c r="O38"/>
      <c r="P38"/>
      <c r="Q38"/>
      <c r="R38"/>
    </row>
    <row r="39" spans="1:18" ht="15" x14ac:dyDescent="0.25">
      <c r="A39" t="s">
        <v>448</v>
      </c>
      <c r="B39">
        <v>4.82486774947039</v>
      </c>
      <c r="C39">
        <v>5.9928775697612799</v>
      </c>
      <c r="D39">
        <v>4.0231104332072603</v>
      </c>
      <c r="E39"/>
      <c r="F39"/>
      <c r="G39"/>
      <c r="H39"/>
      <c r="I39"/>
      <c r="J39"/>
      <c r="K39"/>
      <c r="L39"/>
      <c r="M39"/>
      <c r="N39"/>
      <c r="O39"/>
      <c r="P39"/>
      <c r="Q39"/>
      <c r="R39"/>
    </row>
    <row r="40" spans="1:18" ht="15" x14ac:dyDescent="0.25">
      <c r="A40" t="s">
        <v>139</v>
      </c>
      <c r="B40">
        <v>4.7654581381179204</v>
      </c>
      <c r="C40">
        <v>7.6161165386861498</v>
      </c>
      <c r="D40">
        <v>4.8420569963485196</v>
      </c>
      <c r="E40"/>
      <c r="F40"/>
      <c r="G40"/>
      <c r="H40"/>
      <c r="I40"/>
      <c r="J40"/>
      <c r="K40"/>
      <c r="L40"/>
      <c r="M40"/>
      <c r="N40"/>
      <c r="O40"/>
      <c r="P40"/>
      <c r="Q40"/>
      <c r="R40"/>
    </row>
    <row r="41" spans="1:18" ht="15" x14ac:dyDescent="0.25">
      <c r="A41" t="s">
        <v>449</v>
      </c>
      <c r="B41">
        <v>2.4254470501065999</v>
      </c>
      <c r="C41">
        <v>2.57271400493183</v>
      </c>
      <c r="D41">
        <v>2.2183413055868999</v>
      </c>
      <c r="E41"/>
      <c r="F41"/>
      <c r="G41"/>
      <c r="H41"/>
      <c r="I41"/>
      <c r="J41"/>
      <c r="K41"/>
      <c r="L41"/>
      <c r="M41"/>
      <c r="N41"/>
      <c r="O41"/>
      <c r="P41"/>
      <c r="Q41"/>
      <c r="R41"/>
    </row>
    <row r="42" spans="1:18" ht="15" x14ac:dyDescent="0.25">
      <c r="A42" t="s">
        <v>450</v>
      </c>
      <c r="B42">
        <v>2.2770359738244799</v>
      </c>
      <c r="C42">
        <v>2.6969559570080102</v>
      </c>
      <c r="D42">
        <v>2.3380761793442799</v>
      </c>
      <c r="E42"/>
      <c r="F42"/>
      <c r="G42"/>
      <c r="H42"/>
      <c r="I42"/>
      <c r="J42"/>
      <c r="K42"/>
      <c r="L42"/>
      <c r="M42"/>
      <c r="N42"/>
      <c r="O42"/>
      <c r="P42"/>
      <c r="Q42"/>
      <c r="R42"/>
    </row>
    <row r="43" spans="1:18" ht="15" x14ac:dyDescent="0.25">
      <c r="A43" t="s">
        <v>171</v>
      </c>
      <c r="B43">
        <v>4.3947762982698597</v>
      </c>
      <c r="C43">
        <v>5.8736494396050798</v>
      </c>
      <c r="D43">
        <v>3.7356657907661002</v>
      </c>
      <c r="E43"/>
      <c r="F43"/>
      <c r="G43"/>
      <c r="H43"/>
      <c r="I43"/>
      <c r="J43"/>
      <c r="K43"/>
      <c r="L43"/>
      <c r="M43"/>
      <c r="N43"/>
      <c r="O43"/>
      <c r="P43"/>
      <c r="Q43"/>
      <c r="R43"/>
    </row>
    <row r="44" spans="1:18" ht="15" x14ac:dyDescent="0.25">
      <c r="A44" t="s">
        <v>118</v>
      </c>
      <c r="B44">
        <v>8.8738734601471005</v>
      </c>
      <c r="C44">
        <v>8.6758050009068501</v>
      </c>
      <c r="D44">
        <v>9.1042378521992404</v>
      </c>
      <c r="E44"/>
      <c r="F44"/>
      <c r="G44"/>
      <c r="H44"/>
      <c r="I44"/>
      <c r="J44"/>
      <c r="K44"/>
      <c r="L44"/>
      <c r="M44"/>
      <c r="N44"/>
      <c r="O44"/>
      <c r="P44"/>
      <c r="Q44"/>
      <c r="R44"/>
    </row>
    <row r="45" spans="1:18" ht="15" x14ac:dyDescent="0.25">
      <c r="A45" t="s">
        <v>451</v>
      </c>
      <c r="B45">
        <v>2.1649461666459802</v>
      </c>
      <c r="C45">
        <v>2.2544411729564202</v>
      </c>
      <c r="D45">
        <v>2.1425353592528502</v>
      </c>
      <c r="E45"/>
      <c r="F45"/>
      <c r="G45"/>
      <c r="H45"/>
      <c r="I45"/>
      <c r="J45"/>
      <c r="K45"/>
      <c r="L45"/>
      <c r="M45"/>
      <c r="N45"/>
      <c r="O45"/>
      <c r="P45"/>
      <c r="Q45"/>
      <c r="R45"/>
    </row>
    <row r="46" spans="1:18" ht="15" x14ac:dyDescent="0.25">
      <c r="A46" t="s">
        <v>245</v>
      </c>
      <c r="B46">
        <v>4.8267340579319997</v>
      </c>
      <c r="C46">
        <v>4.4666447037873196</v>
      </c>
      <c r="D46">
        <v>4.14756000508795</v>
      </c>
      <c r="E46"/>
      <c r="F46"/>
      <c r="G46"/>
      <c r="H46"/>
      <c r="I46"/>
      <c r="J46"/>
      <c r="K46"/>
      <c r="L46"/>
      <c r="M46"/>
      <c r="N46"/>
      <c r="O46"/>
      <c r="P46"/>
      <c r="Q46"/>
      <c r="R46"/>
    </row>
    <row r="47" spans="1:18" ht="15" x14ac:dyDescent="0.25">
      <c r="A47" t="s">
        <v>182</v>
      </c>
      <c r="B47">
        <v>3.8494981311887502</v>
      </c>
      <c r="C47">
        <v>4.9941922549609901</v>
      </c>
      <c r="D47">
        <v>3.2575412368151202</v>
      </c>
      <c r="E47"/>
      <c r="F47"/>
      <c r="G47"/>
      <c r="H47"/>
      <c r="I47"/>
      <c r="J47"/>
      <c r="K47"/>
      <c r="L47"/>
      <c r="M47"/>
      <c r="N47"/>
      <c r="O47"/>
      <c r="P47"/>
      <c r="Q47"/>
      <c r="R47"/>
    </row>
    <row r="48" spans="1:18" ht="15" x14ac:dyDescent="0.25">
      <c r="A48" t="s">
        <v>452</v>
      </c>
      <c r="B48">
        <v>3.7781700648178398</v>
      </c>
      <c r="C48">
        <v>4.7459247232828297</v>
      </c>
      <c r="D48">
        <v>3.2119377749553801</v>
      </c>
      <c r="E48"/>
      <c r="F48"/>
      <c r="G48"/>
      <c r="H48"/>
      <c r="I48"/>
      <c r="J48"/>
      <c r="K48"/>
      <c r="L48"/>
      <c r="M48"/>
      <c r="N48"/>
      <c r="O48"/>
      <c r="P48"/>
      <c r="Q48"/>
      <c r="R48"/>
    </row>
    <row r="49" spans="1:18" ht="15" x14ac:dyDescent="0.25">
      <c r="A49" t="s">
        <v>453</v>
      </c>
      <c r="B49">
        <v>3.7441495332907002</v>
      </c>
      <c r="C49">
        <v>4.5176719052769698</v>
      </c>
      <c r="D49">
        <v>3.0570747774762501</v>
      </c>
      <c r="E49"/>
      <c r="F49"/>
      <c r="G49"/>
      <c r="H49"/>
      <c r="I49"/>
      <c r="J49"/>
      <c r="K49"/>
      <c r="L49"/>
      <c r="M49"/>
      <c r="N49"/>
      <c r="O49"/>
      <c r="P49"/>
      <c r="Q49"/>
      <c r="R49"/>
    </row>
    <row r="50" spans="1:18" ht="15" x14ac:dyDescent="0.25">
      <c r="A50" t="s">
        <v>185</v>
      </c>
      <c r="B50">
        <v>3.65012537925745</v>
      </c>
      <c r="C50">
        <v>4.6925591513358098</v>
      </c>
      <c r="D50">
        <v>3.2226788432177602</v>
      </c>
      <c r="E50"/>
      <c r="F50"/>
      <c r="G50"/>
      <c r="H50"/>
      <c r="I50"/>
      <c r="J50"/>
      <c r="K50"/>
      <c r="L50"/>
      <c r="M50"/>
      <c r="N50"/>
      <c r="O50"/>
      <c r="P50"/>
      <c r="Q50"/>
      <c r="R50"/>
    </row>
    <row r="51" spans="1:18" ht="15" x14ac:dyDescent="0.25">
      <c r="A51" t="s">
        <v>238</v>
      </c>
      <c r="B51">
        <v>4.2357305651318198</v>
      </c>
      <c r="C51">
        <v>4.1076292174134297</v>
      </c>
      <c r="D51">
        <v>3.80560188819608</v>
      </c>
      <c r="E51"/>
      <c r="F51"/>
      <c r="G51"/>
      <c r="H51"/>
      <c r="I51"/>
      <c r="J51"/>
      <c r="K51"/>
      <c r="L51"/>
      <c r="M51"/>
      <c r="N51"/>
      <c r="O51"/>
      <c r="P51"/>
      <c r="Q51"/>
      <c r="R51"/>
    </row>
    <row r="52" spans="1:18" ht="15" x14ac:dyDescent="0.25">
      <c r="A52" t="s">
        <v>198</v>
      </c>
      <c r="B52">
        <v>1.81157937499</v>
      </c>
      <c r="C52">
        <v>1.9435796941385901</v>
      </c>
      <c r="D52">
        <v>1.9686482822740501</v>
      </c>
      <c r="E52"/>
      <c r="F52"/>
      <c r="G52"/>
      <c r="H52"/>
      <c r="I52"/>
      <c r="J52"/>
      <c r="K52"/>
      <c r="L52"/>
      <c r="M52"/>
      <c r="N52"/>
      <c r="O52"/>
      <c r="P52"/>
      <c r="Q52"/>
      <c r="R52"/>
    </row>
    <row r="53" spans="1:18" ht="15" x14ac:dyDescent="0.25">
      <c r="A53" t="s">
        <v>235</v>
      </c>
      <c r="B53">
        <v>3.96119350349989</v>
      </c>
      <c r="C53">
        <v>3.6722882309918301</v>
      </c>
      <c r="D53">
        <v>3.23841903408543</v>
      </c>
      <c r="E53"/>
      <c r="F53"/>
      <c r="G53"/>
      <c r="H53"/>
      <c r="I53"/>
      <c r="J53"/>
      <c r="K53"/>
      <c r="L53"/>
      <c r="M53"/>
      <c r="N53"/>
      <c r="O53"/>
      <c r="P53"/>
      <c r="Q53"/>
      <c r="R53"/>
    </row>
    <row r="54" spans="1:18" ht="15" x14ac:dyDescent="0.25">
      <c r="A54" t="s">
        <v>454</v>
      </c>
      <c r="B54">
        <v>3.1976156119988102</v>
      </c>
      <c r="C54">
        <v>3.8748798240015501</v>
      </c>
      <c r="D54">
        <v>2.71327475136244</v>
      </c>
      <c r="E54"/>
      <c r="F54"/>
      <c r="G54"/>
      <c r="H54"/>
      <c r="I54"/>
      <c r="J54"/>
      <c r="K54"/>
      <c r="L54"/>
      <c r="M54"/>
      <c r="N54"/>
      <c r="O54"/>
      <c r="P54"/>
      <c r="Q54"/>
      <c r="R54"/>
    </row>
    <row r="55" spans="1:18" ht="15" x14ac:dyDescent="0.25">
      <c r="A55" t="s">
        <v>134</v>
      </c>
      <c r="B55">
        <v>4.5436372407139398</v>
      </c>
      <c r="C55">
        <v>4.6968275296457902</v>
      </c>
      <c r="D55">
        <v>4.9704164807864002</v>
      </c>
      <c r="E55"/>
      <c r="F55"/>
      <c r="G55"/>
      <c r="H55"/>
      <c r="I55"/>
      <c r="J55"/>
      <c r="K55"/>
      <c r="L55"/>
      <c r="M55"/>
      <c r="N55"/>
      <c r="O55"/>
      <c r="P55"/>
      <c r="Q55"/>
      <c r="R55"/>
    </row>
    <row r="56" spans="1:18" ht="15" x14ac:dyDescent="0.25">
      <c r="A56" t="s">
        <v>251</v>
      </c>
      <c r="B56">
        <v>3.4457546980957701</v>
      </c>
      <c r="C56">
        <v>3.0170081724806801</v>
      </c>
      <c r="D56">
        <v>2.7766669022200698</v>
      </c>
      <c r="E56"/>
      <c r="F56"/>
      <c r="G56"/>
      <c r="H56"/>
      <c r="I56"/>
      <c r="J56"/>
      <c r="K56"/>
      <c r="L56"/>
      <c r="M56"/>
      <c r="N56"/>
      <c r="O56"/>
      <c r="P56"/>
      <c r="Q56"/>
      <c r="R56"/>
    </row>
    <row r="57" spans="1:18" ht="15" x14ac:dyDescent="0.25">
      <c r="A57" t="s">
        <v>227</v>
      </c>
      <c r="B57">
        <v>3.1588430339786302</v>
      </c>
      <c r="C57">
        <v>2.8857083486634201</v>
      </c>
      <c r="D57">
        <v>2.6876227478992898</v>
      </c>
      <c r="E57"/>
      <c r="F57"/>
      <c r="G57"/>
      <c r="H57"/>
      <c r="I57"/>
      <c r="J57"/>
      <c r="K57"/>
      <c r="L57"/>
      <c r="M57"/>
      <c r="N57"/>
      <c r="O57"/>
      <c r="P57"/>
      <c r="Q57"/>
      <c r="R57"/>
    </row>
    <row r="58" spans="1:18" ht="15" x14ac:dyDescent="0.25">
      <c r="A58" t="s">
        <v>455</v>
      </c>
      <c r="B58">
        <v>1.4874322901505299</v>
      </c>
      <c r="C58">
        <v>1.5270549784529599</v>
      </c>
      <c r="D58">
        <v>1.55387728386179</v>
      </c>
      <c r="E58"/>
      <c r="F58"/>
      <c r="G58"/>
      <c r="H58"/>
      <c r="I58"/>
      <c r="J58"/>
      <c r="K58"/>
      <c r="L58"/>
      <c r="M58"/>
      <c r="N58"/>
      <c r="O58"/>
      <c r="P58"/>
      <c r="Q58"/>
      <c r="R58"/>
    </row>
    <row r="59" spans="1:18" ht="15" x14ac:dyDescent="0.25">
      <c r="A59" t="s">
        <v>222</v>
      </c>
      <c r="B59">
        <v>2.9205200882792899</v>
      </c>
      <c r="C59">
        <v>2.7833105398234999</v>
      </c>
      <c r="D59">
        <v>2.4956062231462699</v>
      </c>
      <c r="E59"/>
      <c r="F59"/>
      <c r="G59"/>
      <c r="H59"/>
      <c r="I59"/>
      <c r="J59"/>
      <c r="K59"/>
      <c r="L59"/>
      <c r="M59"/>
      <c r="N59"/>
      <c r="O59"/>
      <c r="P59"/>
      <c r="Q59"/>
      <c r="R59"/>
    </row>
    <row r="60" spans="1:18" ht="15" x14ac:dyDescent="0.25">
      <c r="A60" t="s">
        <v>226</v>
      </c>
      <c r="B60">
        <v>2.7574966765745899</v>
      </c>
      <c r="C60">
        <v>2.7448832177079701</v>
      </c>
      <c r="D60">
        <v>2.4958747681276598</v>
      </c>
      <c r="E60"/>
      <c r="F60"/>
      <c r="G60"/>
      <c r="H60"/>
      <c r="I60"/>
      <c r="J60"/>
      <c r="K60"/>
      <c r="L60"/>
      <c r="M60"/>
      <c r="N60"/>
      <c r="O60"/>
      <c r="P60"/>
      <c r="Q60"/>
      <c r="R60"/>
    </row>
    <row r="61" spans="1:18" ht="15" x14ac:dyDescent="0.25">
      <c r="A61" t="s">
        <v>456</v>
      </c>
      <c r="B61">
        <v>2.4521648901259701</v>
      </c>
      <c r="C61">
        <v>3.0869766220541202</v>
      </c>
      <c r="D61">
        <v>2.0784300587709001</v>
      </c>
      <c r="E61"/>
      <c r="F61"/>
      <c r="G61"/>
      <c r="H61"/>
      <c r="I61"/>
      <c r="J61"/>
      <c r="K61"/>
      <c r="L61"/>
      <c r="M61"/>
      <c r="N61"/>
      <c r="O61"/>
      <c r="P61"/>
      <c r="Q61"/>
      <c r="R61"/>
    </row>
    <row r="62" spans="1:18" ht="15" x14ac:dyDescent="0.25">
      <c r="A62" t="s">
        <v>249</v>
      </c>
      <c r="B62">
        <v>2.7191626039279999</v>
      </c>
      <c r="C62">
        <v>2.6555825356949798</v>
      </c>
      <c r="D62">
        <v>2.1867936256679501</v>
      </c>
      <c r="E62"/>
      <c r="F62"/>
      <c r="G62"/>
      <c r="H62"/>
      <c r="I62"/>
      <c r="J62"/>
      <c r="K62"/>
      <c r="L62"/>
      <c r="M62"/>
      <c r="N62"/>
      <c r="O62"/>
      <c r="P62"/>
      <c r="Q62"/>
      <c r="R62"/>
    </row>
    <row r="63" spans="1:18" ht="15" x14ac:dyDescent="0.25">
      <c r="A63" t="s">
        <v>125</v>
      </c>
      <c r="B63">
        <v>4.5784190703329202</v>
      </c>
      <c r="C63">
        <v>4.61909475842499</v>
      </c>
      <c r="D63">
        <v>4.8573486265703201</v>
      </c>
      <c r="E63"/>
      <c r="F63"/>
      <c r="G63"/>
      <c r="H63"/>
      <c r="I63"/>
      <c r="J63"/>
      <c r="K63"/>
      <c r="L63"/>
      <c r="M63"/>
      <c r="N63"/>
      <c r="O63"/>
      <c r="P63"/>
      <c r="Q63"/>
      <c r="R63"/>
    </row>
    <row r="64" spans="1:18" ht="15" x14ac:dyDescent="0.25">
      <c r="A64" t="s">
        <v>237</v>
      </c>
      <c r="B64">
        <v>2.4573980145890202</v>
      </c>
      <c r="C64">
        <v>2.33016440359971</v>
      </c>
      <c r="D64">
        <v>2.0796683836368302</v>
      </c>
      <c r="E64"/>
      <c r="F64"/>
      <c r="G64"/>
      <c r="H64"/>
      <c r="I64"/>
      <c r="J64"/>
      <c r="K64"/>
      <c r="L64"/>
      <c r="M64"/>
      <c r="N64"/>
      <c r="O64"/>
      <c r="P64"/>
      <c r="Q64"/>
      <c r="R64"/>
    </row>
    <row r="65" spans="1:18" ht="15" x14ac:dyDescent="0.25">
      <c r="A65" t="s">
        <v>457</v>
      </c>
      <c r="B65">
        <v>1.05677774985499</v>
      </c>
      <c r="C65">
        <v>1.12072765379498</v>
      </c>
      <c r="D65">
        <v>1.06501115487791</v>
      </c>
      <c r="E65"/>
      <c r="F65"/>
      <c r="G65"/>
      <c r="H65"/>
      <c r="I65"/>
      <c r="J65"/>
      <c r="K65"/>
      <c r="L65"/>
      <c r="M65"/>
      <c r="N65"/>
      <c r="O65"/>
      <c r="P65"/>
      <c r="Q65"/>
      <c r="R65"/>
    </row>
    <row r="66" spans="1:18" ht="15" x14ac:dyDescent="0.25">
      <c r="A66" t="s">
        <v>223</v>
      </c>
      <c r="B66">
        <v>1.8216248931760499</v>
      </c>
      <c r="C66">
        <v>1.7431766700887801</v>
      </c>
      <c r="D66">
        <v>1.68117914286505</v>
      </c>
      <c r="E66"/>
      <c r="F66"/>
      <c r="G66"/>
      <c r="H66"/>
      <c r="I66"/>
      <c r="J66"/>
      <c r="K66"/>
      <c r="L66"/>
      <c r="M66"/>
      <c r="N66"/>
      <c r="O66"/>
      <c r="P66"/>
      <c r="Q66"/>
      <c r="R66"/>
    </row>
    <row r="67" spans="1:18" ht="15" x14ac:dyDescent="0.25">
      <c r="A67" t="s">
        <v>458</v>
      </c>
      <c r="B67">
        <v>1.56428801718361</v>
      </c>
      <c r="C67">
        <v>1.9997810958961899</v>
      </c>
      <c r="D67">
        <v>1.3946604218566601</v>
      </c>
      <c r="E67"/>
      <c r="F67"/>
      <c r="G67"/>
      <c r="H67"/>
      <c r="I67"/>
      <c r="J67"/>
      <c r="K67"/>
      <c r="L67"/>
      <c r="M67"/>
      <c r="N67"/>
      <c r="O67"/>
      <c r="P67"/>
      <c r="Q67"/>
      <c r="R67"/>
    </row>
    <row r="68" spans="1:18" ht="15" x14ac:dyDescent="0.25">
      <c r="A68" t="s">
        <v>459</v>
      </c>
      <c r="B68">
        <v>1.5573752330330299</v>
      </c>
      <c r="C68">
        <v>2.0252184111086402</v>
      </c>
      <c r="D68">
        <v>2.1014393885214999</v>
      </c>
      <c r="E68"/>
      <c r="F68"/>
      <c r="G68"/>
      <c r="H68"/>
      <c r="I68"/>
      <c r="J68"/>
      <c r="K68"/>
      <c r="L68"/>
      <c r="M68"/>
      <c r="N68"/>
      <c r="O68"/>
      <c r="P68"/>
      <c r="Q68"/>
      <c r="R68"/>
    </row>
    <row r="69" spans="1:18" ht="15" x14ac:dyDescent="0.25">
      <c r="A69" t="s">
        <v>246</v>
      </c>
      <c r="B69">
        <v>1.8254707448034999</v>
      </c>
      <c r="C69">
        <v>1.69592698826597</v>
      </c>
      <c r="D69">
        <v>1.71666475654271</v>
      </c>
      <c r="E69"/>
      <c r="F69"/>
      <c r="G69"/>
      <c r="H69"/>
      <c r="I69"/>
      <c r="J69"/>
      <c r="K69"/>
      <c r="L69"/>
      <c r="M69"/>
      <c r="N69"/>
      <c r="O69"/>
      <c r="P69"/>
      <c r="Q69"/>
      <c r="R69"/>
    </row>
    <row r="70" spans="1:18" ht="15" x14ac:dyDescent="0.25">
      <c r="A70" t="s">
        <v>206</v>
      </c>
      <c r="B70">
        <v>0.78984836744695197</v>
      </c>
      <c r="C70">
        <v>0.803282900598283</v>
      </c>
      <c r="D70">
        <v>0.79732850801236099</v>
      </c>
      <c r="E70"/>
      <c r="F70"/>
      <c r="G70"/>
      <c r="H70"/>
      <c r="I70"/>
      <c r="J70"/>
      <c r="K70"/>
      <c r="L70"/>
      <c r="M70"/>
      <c r="N70"/>
      <c r="O70"/>
      <c r="P70"/>
      <c r="Q70"/>
      <c r="R70"/>
    </row>
    <row r="71" spans="1:18" ht="15" x14ac:dyDescent="0.25">
      <c r="A71" t="s">
        <v>460</v>
      </c>
      <c r="B71">
        <v>0.78844344835550895</v>
      </c>
      <c r="C71">
        <v>0.81380979196226799</v>
      </c>
      <c r="D71">
        <v>0.79674183146002697</v>
      </c>
      <c r="E71"/>
      <c r="F71"/>
      <c r="G71"/>
      <c r="H71"/>
      <c r="I71"/>
      <c r="J71"/>
      <c r="K71"/>
      <c r="L71"/>
      <c r="M71"/>
      <c r="N71"/>
      <c r="O71"/>
      <c r="P71"/>
      <c r="Q71"/>
      <c r="R71"/>
    </row>
    <row r="72" spans="1:18" ht="15" x14ac:dyDescent="0.25">
      <c r="A72" t="s">
        <v>214</v>
      </c>
      <c r="B72">
        <v>0.77784721386581201</v>
      </c>
      <c r="C72">
        <v>0.78789313824606799</v>
      </c>
      <c r="D72">
        <v>0.822062225838597</v>
      </c>
      <c r="E72"/>
      <c r="F72"/>
      <c r="G72"/>
      <c r="H72"/>
      <c r="I72"/>
      <c r="J72"/>
      <c r="K72"/>
      <c r="L72"/>
      <c r="M72"/>
      <c r="N72"/>
      <c r="O72"/>
      <c r="P72"/>
      <c r="Q72"/>
      <c r="R72"/>
    </row>
    <row r="73" spans="1:18" ht="15" x14ac:dyDescent="0.25">
      <c r="A73" t="s">
        <v>461</v>
      </c>
      <c r="B73">
        <v>1.4931627925236901</v>
      </c>
      <c r="C73">
        <v>1.7978288065379</v>
      </c>
      <c r="D73">
        <v>1.27694409568336</v>
      </c>
      <c r="E73"/>
      <c r="F73"/>
      <c r="G73"/>
      <c r="H73"/>
      <c r="I73"/>
      <c r="J73"/>
      <c r="K73"/>
      <c r="L73"/>
      <c r="M73"/>
      <c r="N73"/>
      <c r="O73"/>
      <c r="P73"/>
      <c r="Q73"/>
      <c r="R73"/>
    </row>
    <row r="74" spans="1:18" ht="15" x14ac:dyDescent="0.25">
      <c r="A74" t="s">
        <v>197</v>
      </c>
      <c r="B74">
        <v>0.75797751316972695</v>
      </c>
      <c r="C74">
        <v>0.93440922329374099</v>
      </c>
      <c r="D74">
        <v>0.92598634866991303</v>
      </c>
      <c r="E74"/>
      <c r="F74"/>
      <c r="G74"/>
      <c r="H74"/>
      <c r="I74"/>
      <c r="J74"/>
      <c r="K74"/>
      <c r="L74"/>
      <c r="M74"/>
      <c r="N74"/>
      <c r="O74"/>
      <c r="P74"/>
      <c r="Q74"/>
      <c r="R74"/>
    </row>
    <row r="75" spans="1:18" ht="15" x14ac:dyDescent="0.25">
      <c r="A75" t="s">
        <v>194</v>
      </c>
      <c r="B75">
        <v>0.75661443183209198</v>
      </c>
      <c r="C75">
        <v>0.82397134125261495</v>
      </c>
      <c r="D75">
        <v>0.75374716529727803</v>
      </c>
      <c r="E75"/>
      <c r="F75"/>
      <c r="G75"/>
      <c r="H75"/>
      <c r="I75"/>
      <c r="J75"/>
      <c r="K75"/>
      <c r="L75"/>
      <c r="M75"/>
      <c r="N75"/>
      <c r="O75"/>
      <c r="P75"/>
      <c r="Q75"/>
      <c r="R75"/>
    </row>
    <row r="76" spans="1:18" ht="15" x14ac:dyDescent="0.25">
      <c r="A76" t="s">
        <v>203</v>
      </c>
      <c r="B76">
        <v>0.67119064280032603</v>
      </c>
      <c r="C76">
        <v>0.73259594169709497</v>
      </c>
      <c r="D76">
        <v>0.67090579325364497</v>
      </c>
      <c r="E76"/>
      <c r="F76"/>
      <c r="G76"/>
      <c r="H76"/>
      <c r="I76"/>
      <c r="J76"/>
      <c r="K76"/>
      <c r="L76"/>
      <c r="M76"/>
      <c r="N76"/>
      <c r="O76"/>
      <c r="P76"/>
      <c r="Q76"/>
      <c r="R76"/>
    </row>
    <row r="77" spans="1:18" ht="15" x14ac:dyDescent="0.25">
      <c r="A77" t="s">
        <v>462</v>
      </c>
      <c r="B77">
        <v>1.2924324525266899</v>
      </c>
      <c r="C77">
        <v>1.66013452766596</v>
      </c>
      <c r="D77">
        <v>0.95865395868974002</v>
      </c>
      <c r="E77"/>
      <c r="F77"/>
      <c r="G77"/>
      <c r="H77"/>
      <c r="I77"/>
      <c r="J77"/>
      <c r="K77"/>
      <c r="L77"/>
      <c r="M77"/>
      <c r="N77"/>
      <c r="O77"/>
      <c r="P77"/>
      <c r="Q77"/>
      <c r="R77"/>
    </row>
    <row r="78" spans="1:18" ht="15" x14ac:dyDescent="0.25">
      <c r="A78" t="s">
        <v>211</v>
      </c>
      <c r="B78">
        <v>0.66777982906929301</v>
      </c>
      <c r="C78">
        <v>0.70050758446385097</v>
      </c>
      <c r="D78">
        <v>0.66826232170271105</v>
      </c>
      <c r="E78"/>
      <c r="F78"/>
      <c r="G78"/>
      <c r="H78"/>
      <c r="I78"/>
      <c r="J78"/>
      <c r="K78"/>
      <c r="L78"/>
      <c r="M78"/>
      <c r="N78"/>
      <c r="O78"/>
      <c r="P78"/>
      <c r="Q78"/>
      <c r="R78"/>
    </row>
    <row r="79" spans="1:18" ht="15" x14ac:dyDescent="0.25">
      <c r="A79" t="s">
        <v>188</v>
      </c>
      <c r="B79">
        <v>1.2901467957833299</v>
      </c>
      <c r="C79">
        <v>1.5778136193271599</v>
      </c>
      <c r="D79">
        <v>1.23341020856919</v>
      </c>
      <c r="E79"/>
      <c r="F79"/>
      <c r="G79"/>
      <c r="H79"/>
      <c r="I79"/>
      <c r="J79"/>
      <c r="K79"/>
      <c r="L79"/>
      <c r="M79"/>
      <c r="N79"/>
      <c r="O79"/>
      <c r="P79"/>
      <c r="Q79"/>
      <c r="R79"/>
    </row>
    <row r="80" spans="1:18" ht="15" x14ac:dyDescent="0.25">
      <c r="A80" t="s">
        <v>463</v>
      </c>
      <c r="B80">
        <v>1.2381723538371301</v>
      </c>
      <c r="C80">
        <v>1.4945561659609701</v>
      </c>
      <c r="D80">
        <v>1.02256578156692</v>
      </c>
      <c r="E80"/>
      <c r="F80"/>
      <c r="G80"/>
      <c r="H80"/>
      <c r="I80"/>
      <c r="J80"/>
      <c r="K80"/>
      <c r="L80"/>
      <c r="M80"/>
      <c r="N80"/>
      <c r="O80"/>
      <c r="P80"/>
      <c r="Q80"/>
      <c r="R80"/>
    </row>
    <row r="81" spans="1:18" ht="15" x14ac:dyDescent="0.25">
      <c r="A81" t="s">
        <v>231</v>
      </c>
      <c r="B81">
        <v>1.33965155731421</v>
      </c>
      <c r="C81">
        <v>1.3742617812592499</v>
      </c>
      <c r="D81">
        <v>1.11849527150479</v>
      </c>
      <c r="E81"/>
      <c r="F81"/>
      <c r="G81"/>
      <c r="H81"/>
      <c r="I81"/>
      <c r="J81"/>
      <c r="K81"/>
      <c r="L81"/>
      <c r="M81"/>
      <c r="N81"/>
      <c r="O81"/>
      <c r="P81"/>
      <c r="Q81"/>
      <c r="R81"/>
    </row>
    <row r="82" spans="1:18" ht="15" x14ac:dyDescent="0.25">
      <c r="A82" t="s">
        <v>138</v>
      </c>
      <c r="B82">
        <v>1.8687802612066999</v>
      </c>
      <c r="C82">
        <v>1.9540001412358801</v>
      </c>
      <c r="D82">
        <v>1.54783600387347</v>
      </c>
      <c r="E82"/>
      <c r="F82"/>
      <c r="G82"/>
      <c r="H82"/>
      <c r="I82"/>
      <c r="J82"/>
      <c r="K82"/>
      <c r="L82"/>
      <c r="M82"/>
      <c r="N82"/>
      <c r="O82"/>
      <c r="P82"/>
      <c r="Q82"/>
      <c r="R82"/>
    </row>
    <row r="83" spans="1:18" ht="15" x14ac:dyDescent="0.25">
      <c r="A83" t="s">
        <v>255</v>
      </c>
      <c r="B83">
        <v>1.3370998808938901</v>
      </c>
      <c r="C83">
        <v>1.2530767322797101</v>
      </c>
      <c r="D83">
        <v>1.1521652197263601</v>
      </c>
      <c r="E83"/>
      <c r="F83"/>
      <c r="G83"/>
      <c r="H83"/>
      <c r="I83"/>
      <c r="J83"/>
      <c r="K83"/>
      <c r="L83"/>
      <c r="M83"/>
      <c r="N83"/>
      <c r="O83"/>
      <c r="P83"/>
      <c r="Q83"/>
      <c r="R83"/>
    </row>
    <row r="84" spans="1:18" ht="15" x14ac:dyDescent="0.25">
      <c r="A84" t="s">
        <v>221</v>
      </c>
      <c r="B84">
        <v>1.2275655986430101</v>
      </c>
      <c r="C84">
        <v>1.28226366464235</v>
      </c>
      <c r="D84">
        <v>0.65701035141928799</v>
      </c>
      <c r="E84"/>
      <c r="F84"/>
      <c r="G84"/>
      <c r="H84"/>
      <c r="I84"/>
      <c r="J84"/>
      <c r="K84"/>
      <c r="L84"/>
      <c r="M84"/>
      <c r="N84"/>
      <c r="O84"/>
      <c r="P84"/>
      <c r="Q84"/>
      <c r="R84"/>
    </row>
    <row r="85" spans="1:18" ht="15" x14ac:dyDescent="0.25">
      <c r="A85" t="s">
        <v>225</v>
      </c>
      <c r="B85">
        <v>1.1354086079394199</v>
      </c>
      <c r="C85">
        <v>1.0003511818583799</v>
      </c>
      <c r="D85">
        <v>1.05765112584175</v>
      </c>
      <c r="E85"/>
      <c r="F85"/>
      <c r="G85"/>
      <c r="H85"/>
      <c r="I85"/>
      <c r="J85"/>
      <c r="K85"/>
      <c r="L85"/>
      <c r="M85"/>
      <c r="N85"/>
      <c r="O85"/>
      <c r="P85"/>
      <c r="Q85"/>
      <c r="R85"/>
    </row>
    <row r="86" spans="1:18" ht="15" x14ac:dyDescent="0.25">
      <c r="A86" t="s">
        <v>137</v>
      </c>
      <c r="B86">
        <v>1.58061353200765</v>
      </c>
      <c r="C86">
        <v>1.6300362571434699</v>
      </c>
      <c r="D86">
        <v>1.8202674938004999</v>
      </c>
      <c r="E86"/>
      <c r="F86"/>
      <c r="G86"/>
      <c r="H86"/>
      <c r="I86"/>
      <c r="J86"/>
      <c r="K86"/>
      <c r="L86"/>
      <c r="M86"/>
      <c r="N86"/>
      <c r="O86"/>
      <c r="P86"/>
      <c r="Q86"/>
      <c r="R86"/>
    </row>
    <row r="87" spans="1:18" ht="15" x14ac:dyDescent="0.25">
      <c r="A87" t="s">
        <v>464</v>
      </c>
      <c r="B87">
        <v>0.52243858272586896</v>
      </c>
      <c r="C87">
        <v>0.54469932063767001</v>
      </c>
      <c r="D87">
        <v>0.49026455692627002</v>
      </c>
      <c r="E87"/>
      <c r="F87"/>
      <c r="G87"/>
      <c r="H87"/>
      <c r="I87"/>
      <c r="J87"/>
      <c r="K87"/>
      <c r="L87"/>
      <c r="M87"/>
      <c r="N87"/>
      <c r="O87"/>
      <c r="P87"/>
      <c r="Q87"/>
      <c r="R87"/>
    </row>
    <row r="88" spans="1:18" ht="15" x14ac:dyDescent="0.25">
      <c r="A88" t="s">
        <v>465</v>
      </c>
      <c r="B88">
        <v>0.963501785191066</v>
      </c>
      <c r="C88">
        <v>0.98660892822741297</v>
      </c>
      <c r="D88">
        <v>1.11691510416589</v>
      </c>
      <c r="E88"/>
      <c r="F88"/>
      <c r="G88"/>
      <c r="H88"/>
      <c r="I88"/>
      <c r="J88"/>
      <c r="K88"/>
      <c r="L88"/>
      <c r="M88"/>
      <c r="N88"/>
      <c r="O88"/>
      <c r="P88"/>
      <c r="Q88"/>
      <c r="R88"/>
    </row>
    <row r="89" spans="1:18" ht="15" x14ac:dyDescent="0.25">
      <c r="A89" t="s">
        <v>136</v>
      </c>
      <c r="B89">
        <v>1.4371783602222601</v>
      </c>
      <c r="C89">
        <v>1.4845423946346199</v>
      </c>
      <c r="D89">
        <v>1.69238241753719</v>
      </c>
      <c r="E89"/>
      <c r="F89"/>
      <c r="G89"/>
      <c r="H89"/>
      <c r="I89"/>
      <c r="J89"/>
      <c r="K89"/>
      <c r="L89"/>
      <c r="M89"/>
      <c r="N89"/>
      <c r="O89"/>
      <c r="P89"/>
      <c r="Q89"/>
      <c r="R89"/>
    </row>
    <row r="90" spans="1:18" ht="15" x14ac:dyDescent="0.25">
      <c r="A90" t="s">
        <v>466</v>
      </c>
      <c r="B90">
        <v>0.484014448095553</v>
      </c>
      <c r="C90">
        <v>0.51845739834660698</v>
      </c>
      <c r="D90">
        <v>0.45834366540314903</v>
      </c>
      <c r="E90"/>
      <c r="F90"/>
      <c r="G90"/>
      <c r="H90"/>
      <c r="I90"/>
      <c r="J90"/>
      <c r="K90"/>
      <c r="L90"/>
      <c r="M90"/>
      <c r="N90"/>
      <c r="O90"/>
      <c r="P90"/>
      <c r="Q90"/>
      <c r="R90"/>
    </row>
    <row r="91" spans="1:18" ht="15" x14ac:dyDescent="0.25">
      <c r="A91" t="s">
        <v>216</v>
      </c>
      <c r="B91">
        <v>0.48066947088818801</v>
      </c>
      <c r="C91">
        <v>0.52000542157491203</v>
      </c>
      <c r="D91">
        <v>0.51871568363616205</v>
      </c>
      <c r="E91"/>
      <c r="F91"/>
      <c r="G91"/>
      <c r="H91"/>
      <c r="I91"/>
      <c r="J91"/>
      <c r="K91"/>
      <c r="L91"/>
      <c r="M91"/>
      <c r="N91"/>
      <c r="O91"/>
      <c r="P91"/>
      <c r="Q91"/>
      <c r="R91"/>
    </row>
    <row r="92" spans="1:18" ht="15" x14ac:dyDescent="0.25">
      <c r="A92" t="s">
        <v>467</v>
      </c>
      <c r="B92">
        <v>0.90056055687048497</v>
      </c>
      <c r="C92">
        <v>1.07058541024789</v>
      </c>
      <c r="D92">
        <v>0.64908020944459199</v>
      </c>
      <c r="E92"/>
      <c r="F92"/>
      <c r="G92"/>
      <c r="H92"/>
      <c r="I92"/>
      <c r="J92"/>
      <c r="K92"/>
      <c r="L92"/>
      <c r="M92"/>
      <c r="N92"/>
      <c r="O92"/>
      <c r="P92"/>
      <c r="Q92"/>
      <c r="R92"/>
    </row>
    <row r="93" spans="1:18" ht="15" x14ac:dyDescent="0.25">
      <c r="A93" t="s">
        <v>229</v>
      </c>
      <c r="B93">
        <v>0.97474248444469702</v>
      </c>
      <c r="C93">
        <v>0.88531879027180604</v>
      </c>
      <c r="D93">
        <v>0.92363411817319396</v>
      </c>
      <c r="E93"/>
      <c r="F93"/>
      <c r="G93"/>
      <c r="H93"/>
      <c r="I93"/>
      <c r="J93"/>
      <c r="K93"/>
      <c r="L93"/>
      <c r="M93"/>
      <c r="N93"/>
      <c r="O93"/>
      <c r="P93"/>
      <c r="Q93"/>
      <c r="R93"/>
    </row>
    <row r="94" spans="1:18" ht="15" x14ac:dyDescent="0.25">
      <c r="A94" t="s">
        <v>468</v>
      </c>
      <c r="B94">
        <v>0.87429821928937901</v>
      </c>
      <c r="C94">
        <v>1.2071097367778501</v>
      </c>
      <c r="D94">
        <v>0.69780199503540896</v>
      </c>
      <c r="E94"/>
      <c r="F94"/>
      <c r="G94"/>
      <c r="H94"/>
      <c r="I94"/>
      <c r="J94"/>
      <c r="K94"/>
      <c r="L94"/>
      <c r="M94"/>
      <c r="N94"/>
      <c r="O94"/>
      <c r="P94"/>
      <c r="Q94"/>
      <c r="R94"/>
    </row>
    <row r="95" spans="1:18" ht="15" x14ac:dyDescent="0.25">
      <c r="A95" t="s">
        <v>243</v>
      </c>
      <c r="B95">
        <v>0.98142000091203896</v>
      </c>
      <c r="C95">
        <v>0.96364918752186202</v>
      </c>
      <c r="D95">
        <v>0.92775397689092598</v>
      </c>
      <c r="E95"/>
      <c r="F95"/>
      <c r="G95"/>
      <c r="H95"/>
      <c r="I95"/>
      <c r="J95"/>
      <c r="K95"/>
      <c r="L95"/>
      <c r="M95"/>
      <c r="N95"/>
      <c r="O95"/>
      <c r="P95"/>
      <c r="Q95"/>
      <c r="R95"/>
    </row>
    <row r="96" spans="1:18" ht="15" x14ac:dyDescent="0.25">
      <c r="A96" t="s">
        <v>262</v>
      </c>
      <c r="B96">
        <v>0.97459712223357797</v>
      </c>
      <c r="C96">
        <v>0.92763322415492699</v>
      </c>
      <c r="D96">
        <v>1.3081893952145001</v>
      </c>
      <c r="E96"/>
      <c r="F96"/>
      <c r="G96"/>
      <c r="H96"/>
      <c r="I96"/>
      <c r="J96"/>
      <c r="K96"/>
      <c r="L96"/>
      <c r="M96"/>
      <c r="N96"/>
      <c r="O96"/>
      <c r="P96"/>
      <c r="Q96"/>
      <c r="R96"/>
    </row>
    <row r="97" spans="1:18" ht="15" x14ac:dyDescent="0.25">
      <c r="A97" t="s">
        <v>201</v>
      </c>
      <c r="B97">
        <v>0.41902742599151999</v>
      </c>
      <c r="C97">
        <v>0.42922820715031701</v>
      </c>
      <c r="D97">
        <v>0.310083473600473</v>
      </c>
      <c r="E97"/>
      <c r="F97"/>
      <c r="G97"/>
      <c r="H97"/>
      <c r="I97"/>
      <c r="J97"/>
      <c r="K97"/>
      <c r="L97"/>
      <c r="M97"/>
      <c r="N97"/>
      <c r="O97"/>
      <c r="P97"/>
      <c r="Q97"/>
      <c r="R97"/>
    </row>
    <row r="98" spans="1:18" ht="15" x14ac:dyDescent="0.25">
      <c r="A98" t="s">
        <v>230</v>
      </c>
      <c r="B98">
        <v>0.87083535609491003</v>
      </c>
      <c r="C98">
        <v>0.79709132302220498</v>
      </c>
      <c r="D98">
        <v>0.66237400055389495</v>
      </c>
      <c r="E98"/>
      <c r="F98"/>
      <c r="G98"/>
      <c r="H98"/>
      <c r="I98"/>
      <c r="J98"/>
      <c r="K98"/>
      <c r="L98"/>
      <c r="M98"/>
      <c r="N98"/>
      <c r="O98"/>
      <c r="P98"/>
      <c r="Q98"/>
      <c r="R98"/>
    </row>
    <row r="99" spans="1:18" ht="15" x14ac:dyDescent="0.25">
      <c r="A99" t="s">
        <v>241</v>
      </c>
      <c r="B99">
        <v>0.94051917948437802</v>
      </c>
      <c r="C99">
        <v>0.86190091264667501</v>
      </c>
      <c r="D99">
        <v>0.74897855478993602</v>
      </c>
      <c r="E99"/>
      <c r="F99"/>
      <c r="G99"/>
      <c r="H99"/>
      <c r="I99"/>
      <c r="J99"/>
      <c r="K99"/>
      <c r="L99"/>
      <c r="M99"/>
      <c r="N99"/>
      <c r="O99"/>
      <c r="P99"/>
      <c r="Q99"/>
      <c r="R99"/>
    </row>
    <row r="100" spans="1:18" ht="15" x14ac:dyDescent="0.25">
      <c r="A100" t="s">
        <v>469</v>
      </c>
      <c r="B100">
        <v>0.39867890866985201</v>
      </c>
      <c r="C100">
        <v>0.445263313126816</v>
      </c>
      <c r="D100">
        <v>0.44668222622836001</v>
      </c>
      <c r="E100"/>
      <c r="F100"/>
      <c r="G100"/>
      <c r="H100"/>
      <c r="I100"/>
      <c r="J100"/>
      <c r="K100"/>
      <c r="L100"/>
      <c r="M100"/>
      <c r="N100"/>
      <c r="O100"/>
      <c r="P100"/>
      <c r="Q100"/>
      <c r="R100"/>
    </row>
    <row r="101" spans="1:18" ht="15" x14ac:dyDescent="0.25">
      <c r="A101" t="s">
        <v>470</v>
      </c>
      <c r="B101">
        <v>0.38303253405919102</v>
      </c>
      <c r="C101">
        <v>0.390265161055107</v>
      </c>
      <c r="D101">
        <v>0.382010537607614</v>
      </c>
      <c r="E101"/>
      <c r="F101"/>
      <c r="G101"/>
      <c r="H101"/>
      <c r="I101"/>
      <c r="J101"/>
      <c r="K101"/>
      <c r="L101"/>
      <c r="M101"/>
      <c r="N101"/>
      <c r="O101"/>
      <c r="P101"/>
      <c r="Q101"/>
      <c r="R101"/>
    </row>
    <row r="102" spans="1:18" ht="15" x14ac:dyDescent="0.25">
      <c r="A102" t="s">
        <v>193</v>
      </c>
      <c r="B102">
        <v>0.37455188108987703</v>
      </c>
      <c r="C102">
        <v>0.37008097325056999</v>
      </c>
      <c r="D102">
        <v>0.38346602155825799</v>
      </c>
      <c r="E102"/>
      <c r="F102"/>
      <c r="G102"/>
      <c r="H102"/>
      <c r="I102"/>
      <c r="J102"/>
      <c r="K102"/>
      <c r="L102"/>
      <c r="M102"/>
      <c r="N102"/>
      <c r="O102"/>
      <c r="P102"/>
      <c r="Q102"/>
      <c r="R102"/>
    </row>
    <row r="103" spans="1:18" ht="15" x14ac:dyDescent="0.25">
      <c r="A103" t="s">
        <v>471</v>
      </c>
      <c r="B103">
        <v>0.72247072661501699</v>
      </c>
      <c r="C103">
        <v>0.85652757662594603</v>
      </c>
      <c r="D103">
        <v>0.51557527267412795</v>
      </c>
      <c r="E103"/>
      <c r="F103"/>
      <c r="G103"/>
      <c r="H103"/>
      <c r="I103"/>
      <c r="J103"/>
      <c r="K103"/>
      <c r="L103"/>
      <c r="M103"/>
      <c r="N103"/>
      <c r="O103"/>
      <c r="P103"/>
      <c r="Q103"/>
      <c r="R103"/>
    </row>
    <row r="104" spans="1:18" ht="15" x14ac:dyDescent="0.25">
      <c r="A104" t="s">
        <v>209</v>
      </c>
      <c r="B104">
        <v>0.36353818388178499</v>
      </c>
      <c r="C104">
        <v>0.384660289163546</v>
      </c>
      <c r="D104">
        <v>0.39876842444548</v>
      </c>
      <c r="E104"/>
      <c r="F104"/>
      <c r="G104"/>
      <c r="H104"/>
      <c r="I104"/>
      <c r="J104"/>
      <c r="K104"/>
      <c r="L104"/>
      <c r="M104"/>
      <c r="N104"/>
      <c r="O104"/>
      <c r="P104"/>
      <c r="Q104"/>
      <c r="R104"/>
    </row>
    <row r="105" spans="1:18" ht="15" x14ac:dyDescent="0.25">
      <c r="A105" t="s">
        <v>472</v>
      </c>
      <c r="B105">
        <v>0.34273594648802203</v>
      </c>
      <c r="C105">
        <v>0.37231685007066001</v>
      </c>
      <c r="D105">
        <v>0.35177560790395002</v>
      </c>
      <c r="E105"/>
      <c r="F105"/>
      <c r="G105"/>
      <c r="H105"/>
      <c r="I105"/>
      <c r="J105"/>
      <c r="K105"/>
      <c r="L105"/>
      <c r="M105"/>
      <c r="N105"/>
      <c r="O105"/>
      <c r="P105"/>
      <c r="Q105"/>
      <c r="R105"/>
    </row>
    <row r="106" spans="1:18" ht="15" x14ac:dyDescent="0.25">
      <c r="A106" t="s">
        <v>473</v>
      </c>
      <c r="B106">
        <v>0.646617130692133</v>
      </c>
      <c r="C106">
        <v>0.96705476028075799</v>
      </c>
      <c r="D106">
        <v>0.63689581630124603</v>
      </c>
      <c r="E106"/>
      <c r="F106"/>
      <c r="G106"/>
      <c r="H106"/>
      <c r="I106"/>
      <c r="J106"/>
      <c r="K106"/>
      <c r="L106"/>
      <c r="M106"/>
      <c r="N106"/>
      <c r="O106"/>
      <c r="P106"/>
      <c r="Q106"/>
      <c r="R106"/>
    </row>
    <row r="107" spans="1:18" ht="15" x14ac:dyDescent="0.25">
      <c r="A107" t="s">
        <v>113</v>
      </c>
      <c r="B107">
        <v>1.2896831340370001</v>
      </c>
      <c r="C107">
        <v>1.2913599268862701</v>
      </c>
      <c r="D107">
        <v>1.35261184832897</v>
      </c>
      <c r="E107"/>
      <c r="F107"/>
      <c r="G107"/>
      <c r="H107"/>
      <c r="I107"/>
      <c r="J107"/>
      <c r="K107"/>
      <c r="L107"/>
      <c r="M107"/>
      <c r="N107"/>
      <c r="O107"/>
      <c r="P107"/>
      <c r="Q107"/>
      <c r="R107"/>
    </row>
    <row r="108" spans="1:18" ht="15" x14ac:dyDescent="0.25">
      <c r="A108" t="s">
        <v>190</v>
      </c>
      <c r="B108">
        <v>0.60466205447023103</v>
      </c>
      <c r="C108">
        <v>0.72173200958147998</v>
      </c>
      <c r="D108">
        <v>0.49223333093462202</v>
      </c>
      <c r="E108"/>
      <c r="F108"/>
      <c r="G108"/>
      <c r="H108"/>
      <c r="I108"/>
      <c r="J108"/>
      <c r="K108"/>
      <c r="L108"/>
      <c r="M108"/>
      <c r="N108"/>
      <c r="O108"/>
      <c r="P108"/>
      <c r="Q108"/>
      <c r="R108"/>
    </row>
    <row r="109" spans="1:18" ht="15" x14ac:dyDescent="0.25">
      <c r="A109" t="s">
        <v>474</v>
      </c>
      <c r="B109">
        <v>0.53476385106203195</v>
      </c>
      <c r="C109">
        <v>0.61586072598813502</v>
      </c>
      <c r="D109">
        <v>0.40253019130588302</v>
      </c>
      <c r="E109"/>
      <c r="F109"/>
      <c r="G109"/>
      <c r="H109"/>
      <c r="I109"/>
      <c r="J109"/>
      <c r="K109"/>
      <c r="L109"/>
      <c r="M109"/>
      <c r="N109"/>
      <c r="O109"/>
      <c r="P109"/>
      <c r="Q109"/>
      <c r="R109"/>
    </row>
    <row r="110" spans="1:18" ht="15" x14ac:dyDescent="0.25">
      <c r="A110" t="s">
        <v>475</v>
      </c>
      <c r="B110">
        <v>0.52600360254373901</v>
      </c>
      <c r="C110">
        <v>0.70352507273665499</v>
      </c>
      <c r="D110">
        <v>0.50280676117589296</v>
      </c>
      <c r="E110"/>
      <c r="F110"/>
      <c r="G110"/>
      <c r="H110"/>
      <c r="I110"/>
      <c r="J110"/>
      <c r="K110"/>
      <c r="L110"/>
      <c r="M110"/>
      <c r="N110"/>
      <c r="O110"/>
      <c r="P110"/>
      <c r="Q110"/>
      <c r="R110"/>
    </row>
    <row r="111" spans="1:18" ht="15" x14ac:dyDescent="0.25">
      <c r="A111" t="s">
        <v>124</v>
      </c>
      <c r="B111">
        <v>0.99556577070127195</v>
      </c>
      <c r="C111">
        <v>0.956093814918339</v>
      </c>
      <c r="D111">
        <v>1.08939494909123</v>
      </c>
      <c r="E111"/>
      <c r="F111"/>
      <c r="G111"/>
      <c r="H111"/>
      <c r="I111"/>
      <c r="J111"/>
      <c r="K111"/>
      <c r="L111"/>
      <c r="M111"/>
      <c r="N111"/>
      <c r="O111"/>
      <c r="P111"/>
      <c r="Q111"/>
      <c r="R111"/>
    </row>
    <row r="112" spans="1:18" ht="15" x14ac:dyDescent="0.25">
      <c r="A112" t="s">
        <v>220</v>
      </c>
      <c r="B112">
        <v>0.48562746232722098</v>
      </c>
      <c r="C112">
        <v>0.455349707566918</v>
      </c>
      <c r="D112">
        <v>0.42662510269349002</v>
      </c>
      <c r="E112"/>
      <c r="F112"/>
      <c r="G112"/>
      <c r="H112"/>
      <c r="I112"/>
      <c r="J112"/>
      <c r="K112"/>
      <c r="L112"/>
      <c r="M112"/>
      <c r="N112"/>
      <c r="O112"/>
      <c r="P112"/>
      <c r="Q112"/>
      <c r="R112"/>
    </row>
    <row r="113" spans="1:18" ht="15" x14ac:dyDescent="0.25">
      <c r="A113" t="s">
        <v>135</v>
      </c>
      <c r="B113">
        <v>0.64368601597255704</v>
      </c>
      <c r="C113">
        <v>0.625519764554061</v>
      </c>
      <c r="D113">
        <v>0.67941686607588903</v>
      </c>
      <c r="E113"/>
      <c r="F113"/>
      <c r="G113"/>
      <c r="H113"/>
      <c r="I113"/>
      <c r="J113"/>
      <c r="K113"/>
      <c r="L113"/>
      <c r="M113"/>
      <c r="N113"/>
      <c r="O113"/>
      <c r="P113"/>
      <c r="Q113"/>
      <c r="R113"/>
    </row>
    <row r="114" spans="1:18" ht="15" x14ac:dyDescent="0.25">
      <c r="A114" t="s">
        <v>218</v>
      </c>
      <c r="B114">
        <v>0.205682265171409</v>
      </c>
      <c r="C114">
        <v>0.218976440534281</v>
      </c>
      <c r="D114">
        <v>0.20323347050207799</v>
      </c>
      <c r="E114"/>
      <c r="F114"/>
      <c r="G114"/>
      <c r="H114"/>
      <c r="I114"/>
      <c r="J114"/>
      <c r="K114"/>
      <c r="L114"/>
      <c r="M114"/>
      <c r="N114"/>
      <c r="O114"/>
      <c r="P114"/>
      <c r="Q114"/>
      <c r="R114"/>
    </row>
    <row r="115" spans="1:18" ht="15" x14ac:dyDescent="0.25">
      <c r="A115" t="s">
        <v>258</v>
      </c>
      <c r="B115">
        <v>0.46114835499340101</v>
      </c>
      <c r="C115">
        <v>0.41847193690972101</v>
      </c>
      <c r="D115">
        <v>0.41473178069378602</v>
      </c>
      <c r="E115"/>
      <c r="F115"/>
      <c r="G115"/>
      <c r="H115"/>
      <c r="I115"/>
      <c r="J115"/>
      <c r="K115"/>
      <c r="L115"/>
      <c r="M115"/>
      <c r="N115"/>
      <c r="O115"/>
      <c r="P115"/>
      <c r="Q115"/>
      <c r="R115"/>
    </row>
    <row r="116" spans="1:18" ht="15" x14ac:dyDescent="0.25">
      <c r="A116" t="s">
        <v>476</v>
      </c>
      <c r="B116">
        <v>0.38585723772596597</v>
      </c>
      <c r="C116">
        <v>0.45807224228944898</v>
      </c>
      <c r="D116">
        <v>0.351749240511118</v>
      </c>
      <c r="E116"/>
      <c r="F116"/>
      <c r="G116"/>
      <c r="H116"/>
      <c r="I116"/>
      <c r="J116"/>
      <c r="K116"/>
      <c r="L116"/>
      <c r="M116"/>
      <c r="N116"/>
      <c r="O116"/>
      <c r="P116"/>
      <c r="Q116"/>
      <c r="R116"/>
    </row>
    <row r="117" spans="1:18" ht="15" x14ac:dyDescent="0.25">
      <c r="A117" t="s">
        <v>131</v>
      </c>
      <c r="B117">
        <v>0.78374648613638997</v>
      </c>
      <c r="C117">
        <v>0.74988664124493998</v>
      </c>
      <c r="D117">
        <v>0.98089936712682502</v>
      </c>
      <c r="E117"/>
      <c r="F117"/>
      <c r="G117"/>
      <c r="H117"/>
      <c r="I117"/>
      <c r="J117"/>
      <c r="K117"/>
      <c r="L117"/>
      <c r="M117"/>
      <c r="N117"/>
      <c r="O117"/>
      <c r="P117"/>
      <c r="Q117"/>
      <c r="R117"/>
    </row>
    <row r="118" spans="1:18" ht="15" x14ac:dyDescent="0.25">
      <c r="A118" t="s">
        <v>232</v>
      </c>
      <c r="B118">
        <v>0.38921455381495601</v>
      </c>
      <c r="C118">
        <v>0.38034774988956399</v>
      </c>
      <c r="D118">
        <v>0.38684178537636299</v>
      </c>
      <c r="E118"/>
      <c r="F118"/>
      <c r="G118"/>
      <c r="H118"/>
      <c r="I118"/>
      <c r="J118"/>
      <c r="K118"/>
      <c r="L118"/>
      <c r="M118"/>
      <c r="N118"/>
      <c r="O118"/>
      <c r="P118"/>
      <c r="Q118"/>
      <c r="R118"/>
    </row>
    <row r="119" spans="1:18" ht="15" x14ac:dyDescent="0.25">
      <c r="A119" t="s">
        <v>233</v>
      </c>
      <c r="B119">
        <v>0.38649122229083799</v>
      </c>
      <c r="C119">
        <v>0.33650256019432001</v>
      </c>
      <c r="D119">
        <v>0.50561385642282997</v>
      </c>
      <c r="E119"/>
      <c r="F119"/>
      <c r="G119"/>
      <c r="H119"/>
      <c r="I119"/>
      <c r="J119"/>
      <c r="K119"/>
      <c r="L119"/>
      <c r="M119"/>
      <c r="N119"/>
      <c r="O119"/>
      <c r="P119"/>
      <c r="Q119"/>
      <c r="R119"/>
    </row>
    <row r="120" spans="1:18" ht="15" x14ac:dyDescent="0.25">
      <c r="A120" t="s">
        <v>133</v>
      </c>
      <c r="B120">
        <v>0.53286264315449094</v>
      </c>
      <c r="C120">
        <v>0.55454778227762402</v>
      </c>
      <c r="D120">
        <v>0.62817046373076801</v>
      </c>
      <c r="E120"/>
      <c r="F120"/>
      <c r="G120"/>
      <c r="H120"/>
      <c r="I120"/>
      <c r="J120"/>
      <c r="K120"/>
      <c r="L120"/>
      <c r="M120"/>
      <c r="N120"/>
      <c r="O120"/>
      <c r="P120"/>
      <c r="Q120"/>
      <c r="R120"/>
    </row>
    <row r="121" spans="1:18" ht="15" x14ac:dyDescent="0.25">
      <c r="A121" t="s">
        <v>247</v>
      </c>
      <c r="B121">
        <v>0.40565659851193397</v>
      </c>
      <c r="C121">
        <v>0.50578846948834499</v>
      </c>
      <c r="D121">
        <v>0.35787202126661799</v>
      </c>
      <c r="E121"/>
      <c r="F121"/>
      <c r="G121"/>
      <c r="H121"/>
      <c r="I121"/>
      <c r="J121"/>
      <c r="K121"/>
      <c r="L121"/>
      <c r="M121"/>
      <c r="N121"/>
      <c r="O121"/>
      <c r="P121"/>
      <c r="Q121"/>
      <c r="R121"/>
    </row>
    <row r="122" spans="1:18" ht="15" x14ac:dyDescent="0.25">
      <c r="A122" t="s">
        <v>215</v>
      </c>
      <c r="B122">
        <v>0.17283334666994801</v>
      </c>
      <c r="C122">
        <v>0.18510152657862</v>
      </c>
      <c r="D122">
        <v>0.16953186343151899</v>
      </c>
      <c r="E122"/>
      <c r="F122"/>
      <c r="G122"/>
      <c r="H122"/>
      <c r="I122"/>
      <c r="J122"/>
      <c r="K122"/>
      <c r="L122"/>
      <c r="M122"/>
      <c r="N122"/>
      <c r="O122"/>
      <c r="P122"/>
      <c r="Q122"/>
      <c r="R122"/>
    </row>
    <row r="123" spans="1:18" ht="15" x14ac:dyDescent="0.25">
      <c r="A123" t="s">
        <v>252</v>
      </c>
      <c r="B123">
        <v>0.38173628134908599</v>
      </c>
      <c r="C123">
        <v>0.37261179126784699</v>
      </c>
      <c r="D123">
        <v>0.42454985423527197</v>
      </c>
      <c r="E123"/>
      <c r="F123"/>
      <c r="G123"/>
      <c r="H123"/>
      <c r="I123"/>
      <c r="J123"/>
      <c r="K123"/>
      <c r="L123"/>
      <c r="M123"/>
      <c r="N123"/>
      <c r="O123"/>
      <c r="P123"/>
      <c r="Q123"/>
      <c r="R123"/>
    </row>
    <row r="124" spans="1:18" ht="15" x14ac:dyDescent="0.25">
      <c r="A124" t="s">
        <v>56</v>
      </c>
      <c r="B124">
        <v>0.43123242393382299</v>
      </c>
      <c r="C124">
        <v>0.405337517464741</v>
      </c>
      <c r="D124">
        <v>0.42070680841966102</v>
      </c>
      <c r="E124"/>
      <c r="F124"/>
      <c r="G124"/>
      <c r="H124"/>
      <c r="I124"/>
      <c r="J124"/>
      <c r="K124"/>
      <c r="L124"/>
      <c r="M124"/>
      <c r="N124"/>
      <c r="O124"/>
      <c r="P124"/>
      <c r="Q124"/>
      <c r="R124"/>
    </row>
    <row r="125" spans="1:18" ht="15" x14ac:dyDescent="0.25">
      <c r="A125" t="s">
        <v>57</v>
      </c>
      <c r="B125">
        <v>0.43123242393382299</v>
      </c>
      <c r="C125">
        <v>0.405337517464741</v>
      </c>
      <c r="D125">
        <v>0.42070680841966102</v>
      </c>
      <c r="E125"/>
      <c r="F125"/>
      <c r="G125"/>
      <c r="H125"/>
      <c r="I125"/>
      <c r="J125"/>
      <c r="K125"/>
      <c r="L125"/>
      <c r="M125"/>
      <c r="N125"/>
      <c r="O125"/>
      <c r="P125"/>
      <c r="Q125"/>
      <c r="R125"/>
    </row>
    <row r="126" spans="1:18" ht="15" x14ac:dyDescent="0.25">
      <c r="A126" t="s">
        <v>59</v>
      </c>
      <c r="B126">
        <v>0.43123242393382299</v>
      </c>
      <c r="C126">
        <v>0.405337517464741</v>
      </c>
      <c r="D126">
        <v>0.42070680841966102</v>
      </c>
      <c r="E126"/>
      <c r="F126"/>
      <c r="G126"/>
      <c r="H126"/>
      <c r="I126"/>
      <c r="J126"/>
      <c r="K126"/>
      <c r="L126"/>
      <c r="M126"/>
      <c r="N126"/>
      <c r="O126"/>
      <c r="P126"/>
      <c r="Q126"/>
      <c r="R126"/>
    </row>
    <row r="127" spans="1:18" ht="15" x14ac:dyDescent="0.25">
      <c r="A127" t="s">
        <v>477</v>
      </c>
      <c r="B127">
        <v>0.26670611099392499</v>
      </c>
      <c r="C127">
        <v>0.35157997277702102</v>
      </c>
      <c r="D127">
        <v>0.22316764692354099</v>
      </c>
      <c r="E127"/>
      <c r="F127"/>
      <c r="G127"/>
      <c r="H127"/>
      <c r="I127"/>
      <c r="J127"/>
      <c r="K127"/>
      <c r="L127"/>
      <c r="M127"/>
      <c r="N127"/>
      <c r="O127"/>
      <c r="P127"/>
      <c r="Q127"/>
      <c r="R127"/>
    </row>
    <row r="128" spans="1:18" ht="15" x14ac:dyDescent="0.25">
      <c r="A128" t="s">
        <v>114</v>
      </c>
      <c r="B128">
        <v>0.469360906128095</v>
      </c>
      <c r="C128">
        <v>0.519232778913302</v>
      </c>
      <c r="D128">
        <v>0.468498316459591</v>
      </c>
      <c r="E128"/>
      <c r="F128"/>
      <c r="G128"/>
      <c r="H128"/>
      <c r="I128"/>
      <c r="J128"/>
      <c r="K128"/>
      <c r="L128"/>
      <c r="M128"/>
      <c r="N128"/>
      <c r="O128"/>
      <c r="P128"/>
      <c r="Q128"/>
      <c r="R128"/>
    </row>
    <row r="129" spans="1:18" ht="15" x14ac:dyDescent="0.25">
      <c r="A129" t="s">
        <v>236</v>
      </c>
      <c r="B129">
        <v>0.256919192830034</v>
      </c>
      <c r="C129">
        <v>0.2422533151016</v>
      </c>
      <c r="D129">
        <v>0.21711323844385699</v>
      </c>
      <c r="E129"/>
      <c r="F129"/>
      <c r="G129"/>
      <c r="H129"/>
      <c r="I129"/>
      <c r="J129"/>
      <c r="K129"/>
      <c r="L129"/>
      <c r="M129"/>
      <c r="N129"/>
      <c r="O129"/>
      <c r="P129"/>
      <c r="Q129"/>
      <c r="R129"/>
    </row>
    <row r="130" spans="1:18" ht="15" x14ac:dyDescent="0.25">
      <c r="A130" t="s">
        <v>478</v>
      </c>
      <c r="B130">
        <v>0.20898466423613599</v>
      </c>
      <c r="C130">
        <v>0.23187722830937699</v>
      </c>
      <c r="D130">
        <v>0.12886309522043199</v>
      </c>
      <c r="E130"/>
      <c r="F130"/>
      <c r="G130"/>
      <c r="H130"/>
      <c r="I130"/>
      <c r="J130"/>
      <c r="K130"/>
      <c r="L130"/>
      <c r="M130"/>
      <c r="N130"/>
      <c r="O130"/>
      <c r="P130"/>
      <c r="Q130"/>
      <c r="R130"/>
    </row>
    <row r="131" spans="1:18" ht="15" x14ac:dyDescent="0.25">
      <c r="A131" t="s">
        <v>242</v>
      </c>
      <c r="B131">
        <v>0.22478812484010299</v>
      </c>
      <c r="C131">
        <v>0.236159983464241</v>
      </c>
      <c r="D131">
        <v>0.19832891884842699</v>
      </c>
      <c r="E131"/>
      <c r="F131"/>
      <c r="G131"/>
      <c r="H131"/>
      <c r="I131"/>
      <c r="J131"/>
      <c r="K131"/>
      <c r="L131"/>
      <c r="M131"/>
      <c r="N131"/>
      <c r="O131"/>
      <c r="P131"/>
      <c r="Q131"/>
      <c r="R131"/>
    </row>
    <row r="132" spans="1:18" ht="15" x14ac:dyDescent="0.25">
      <c r="A132" t="s">
        <v>263</v>
      </c>
      <c r="B132">
        <v>0.214742772799493</v>
      </c>
      <c r="C132">
        <v>0.17985874646230199</v>
      </c>
      <c r="D132">
        <v>0.14125150486503399</v>
      </c>
      <c r="E132"/>
      <c r="F132"/>
      <c r="G132"/>
      <c r="H132"/>
      <c r="I132"/>
      <c r="J132"/>
      <c r="K132"/>
      <c r="L132"/>
      <c r="M132"/>
      <c r="N132"/>
      <c r="O132"/>
      <c r="P132"/>
      <c r="Q132"/>
      <c r="R132"/>
    </row>
    <row r="133" spans="1:18" ht="15" x14ac:dyDescent="0.25">
      <c r="A133" t="s">
        <v>130</v>
      </c>
      <c r="B133">
        <v>0.36208135347238901</v>
      </c>
      <c r="C133">
        <v>0.380377272101659</v>
      </c>
      <c r="D133">
        <v>0.39468948671426402</v>
      </c>
      <c r="E133"/>
      <c r="F133"/>
      <c r="G133"/>
      <c r="H133"/>
      <c r="I133"/>
      <c r="J133"/>
      <c r="K133"/>
      <c r="L133"/>
      <c r="M133"/>
      <c r="N133"/>
      <c r="O133"/>
      <c r="P133"/>
      <c r="Q133"/>
      <c r="R133"/>
    </row>
    <row r="134" spans="1:18" ht="15" x14ac:dyDescent="0.25">
      <c r="A134" t="s">
        <v>170</v>
      </c>
      <c r="B134">
        <v>0.16855978033399699</v>
      </c>
      <c r="C134">
        <v>0.23940352079116001</v>
      </c>
      <c r="D134">
        <v>0.15245197990127199</v>
      </c>
      <c r="E134"/>
      <c r="F134"/>
      <c r="G134"/>
      <c r="H134"/>
      <c r="I134"/>
      <c r="J134"/>
      <c r="K134"/>
      <c r="L134"/>
      <c r="M134"/>
      <c r="N134"/>
      <c r="O134"/>
      <c r="P134"/>
      <c r="Q134"/>
      <c r="R134"/>
    </row>
    <row r="135" spans="1:18" ht="15" x14ac:dyDescent="0.25">
      <c r="A135" t="s">
        <v>104</v>
      </c>
      <c r="B135">
        <v>0.24492009254792699</v>
      </c>
      <c r="C135">
        <v>0.26405781145537399</v>
      </c>
      <c r="D135">
        <v>0.25380998139863498</v>
      </c>
      <c r="E135"/>
      <c r="F135"/>
      <c r="G135"/>
      <c r="H135"/>
      <c r="I135"/>
      <c r="J135"/>
      <c r="K135"/>
      <c r="L135"/>
      <c r="M135"/>
      <c r="N135"/>
      <c r="O135"/>
      <c r="P135"/>
      <c r="Q135"/>
      <c r="R135"/>
    </row>
    <row r="136" spans="1:18" ht="15" x14ac:dyDescent="0.25">
      <c r="A136" t="s">
        <v>108</v>
      </c>
      <c r="B136">
        <v>0.320460034512634</v>
      </c>
      <c r="C136">
        <v>0.32758929901378803</v>
      </c>
      <c r="D136">
        <v>0.31993608297223203</v>
      </c>
      <c r="E136"/>
      <c r="F136"/>
      <c r="G136"/>
      <c r="H136"/>
      <c r="I136"/>
      <c r="J136"/>
      <c r="K136"/>
      <c r="L136"/>
      <c r="M136"/>
      <c r="N136"/>
      <c r="O136"/>
      <c r="P136"/>
      <c r="Q136"/>
      <c r="R136"/>
    </row>
    <row r="137" spans="1:18" ht="15" x14ac:dyDescent="0.25">
      <c r="A137" t="s">
        <v>53</v>
      </c>
      <c r="B137">
        <v>0.229220623179861</v>
      </c>
      <c r="C137">
        <v>0.22451857592869701</v>
      </c>
      <c r="D137">
        <v>0.236673566054281</v>
      </c>
      <c r="E137"/>
      <c r="F137"/>
      <c r="G137"/>
      <c r="H137"/>
      <c r="I137"/>
      <c r="J137"/>
      <c r="K137"/>
      <c r="L137"/>
      <c r="M137"/>
      <c r="N137"/>
      <c r="O137"/>
      <c r="P137"/>
      <c r="Q137"/>
      <c r="R137"/>
    </row>
    <row r="138" spans="1:18" ht="15" x14ac:dyDescent="0.25">
      <c r="A138" t="s">
        <v>55</v>
      </c>
      <c r="B138">
        <v>0.229220623179861</v>
      </c>
      <c r="C138">
        <v>0.22451857592869701</v>
      </c>
      <c r="D138">
        <v>0.236673566054281</v>
      </c>
      <c r="E138"/>
      <c r="F138"/>
      <c r="G138"/>
      <c r="H138"/>
      <c r="I138"/>
      <c r="J138"/>
      <c r="K138"/>
      <c r="L138"/>
      <c r="M138"/>
      <c r="N138"/>
      <c r="O138"/>
      <c r="P138"/>
      <c r="Q138"/>
      <c r="R138"/>
    </row>
    <row r="139" spans="1:18" ht="15" x14ac:dyDescent="0.25">
      <c r="A139" t="s">
        <v>66</v>
      </c>
      <c r="B139">
        <v>0.229220623179861</v>
      </c>
      <c r="C139">
        <v>0.22451857592869701</v>
      </c>
      <c r="D139">
        <v>0.236673566054281</v>
      </c>
      <c r="E139"/>
      <c r="F139"/>
      <c r="G139"/>
      <c r="H139"/>
      <c r="I139"/>
      <c r="J139"/>
      <c r="K139"/>
      <c r="L139"/>
      <c r="M139"/>
      <c r="N139"/>
      <c r="O139"/>
      <c r="P139"/>
      <c r="Q139"/>
      <c r="R139"/>
    </row>
    <row r="140" spans="1:18" ht="15" x14ac:dyDescent="0.25">
      <c r="A140" t="s">
        <v>111</v>
      </c>
      <c r="B140">
        <v>0.27880942737109399</v>
      </c>
      <c r="C140">
        <v>0.29305728538921699</v>
      </c>
      <c r="D140">
        <v>0.29947210441113498</v>
      </c>
      <c r="E140"/>
      <c r="F140"/>
      <c r="G140"/>
      <c r="H140"/>
      <c r="I140"/>
      <c r="J140"/>
      <c r="K140"/>
      <c r="L140"/>
      <c r="M140"/>
      <c r="N140"/>
      <c r="O140"/>
      <c r="P140"/>
      <c r="Q140"/>
      <c r="R140"/>
    </row>
    <row r="141" spans="1:18" ht="15" x14ac:dyDescent="0.25">
      <c r="A141" t="s">
        <v>109</v>
      </c>
      <c r="B141">
        <v>0.25087638957995401</v>
      </c>
      <c r="C141">
        <v>0.231873373624776</v>
      </c>
      <c r="D141">
        <v>0.19376646663542099</v>
      </c>
      <c r="E141"/>
      <c r="F141"/>
      <c r="G141"/>
      <c r="H141"/>
      <c r="I141"/>
      <c r="J141"/>
      <c r="K141"/>
      <c r="L141"/>
      <c r="M141"/>
      <c r="N141"/>
      <c r="O141"/>
      <c r="P141"/>
      <c r="Q141"/>
      <c r="R141"/>
    </row>
    <row r="142" spans="1:18" ht="15" x14ac:dyDescent="0.25">
      <c r="A142" t="s">
        <v>102</v>
      </c>
      <c r="B142">
        <v>0.172578835468368</v>
      </c>
      <c r="C142">
        <v>0.19346262869899999</v>
      </c>
      <c r="D142">
        <v>0.21611433951435199</v>
      </c>
      <c r="E142"/>
      <c r="F142"/>
      <c r="G142"/>
      <c r="H142"/>
      <c r="I142"/>
      <c r="J142"/>
      <c r="K142"/>
      <c r="L142"/>
      <c r="M142"/>
      <c r="N142"/>
      <c r="O142"/>
      <c r="P142"/>
      <c r="Q142"/>
      <c r="R142"/>
    </row>
    <row r="143" spans="1:18" ht="15" x14ac:dyDescent="0.25">
      <c r="A143" t="s">
        <v>126</v>
      </c>
      <c r="B143">
        <v>0.19273164453928501</v>
      </c>
      <c r="C143">
        <v>0.18645510207494301</v>
      </c>
      <c r="D143">
        <v>0.18962750194807601</v>
      </c>
      <c r="E143"/>
      <c r="F143"/>
      <c r="G143"/>
      <c r="H143"/>
      <c r="I143"/>
      <c r="J143"/>
      <c r="K143"/>
      <c r="L143"/>
      <c r="M143"/>
      <c r="N143"/>
      <c r="O143"/>
      <c r="P143"/>
      <c r="Q143"/>
      <c r="R143"/>
    </row>
    <row r="144" spans="1:18" ht="15" x14ac:dyDescent="0.25">
      <c r="A144" t="s">
        <v>479</v>
      </c>
      <c r="B144">
        <v>7.5307581200852403E-2</v>
      </c>
      <c r="C144">
        <v>8.4640803557457497E-2</v>
      </c>
      <c r="D144">
        <v>8.7493134739818998E-2</v>
      </c>
      <c r="E144"/>
      <c r="F144"/>
      <c r="G144"/>
      <c r="H144"/>
      <c r="I144"/>
      <c r="J144"/>
      <c r="K144"/>
      <c r="L144"/>
      <c r="M144"/>
      <c r="N144"/>
      <c r="O144"/>
      <c r="P144"/>
      <c r="Q144"/>
      <c r="R144"/>
    </row>
    <row r="145" spans="1:18" ht="15" x14ac:dyDescent="0.25">
      <c r="A145" t="s">
        <v>112</v>
      </c>
      <c r="B145">
        <v>0.13763036348260599</v>
      </c>
      <c r="C145">
        <v>0.12948043397447201</v>
      </c>
      <c r="D145">
        <v>0.12481546326834</v>
      </c>
      <c r="E145"/>
      <c r="F145"/>
      <c r="G145"/>
      <c r="H145"/>
      <c r="I145"/>
      <c r="J145"/>
      <c r="K145"/>
      <c r="L145"/>
      <c r="M145"/>
      <c r="N145"/>
      <c r="O145"/>
      <c r="P145"/>
      <c r="Q145"/>
      <c r="R145"/>
    </row>
    <row r="146" spans="1:18" ht="15" x14ac:dyDescent="0.25">
      <c r="A146" t="s">
        <v>123</v>
      </c>
      <c r="B146">
        <v>0.12596455661230099</v>
      </c>
      <c r="C146">
        <v>0.132322354161655</v>
      </c>
      <c r="D146">
        <v>0.13303500211341099</v>
      </c>
      <c r="E146"/>
      <c r="F146"/>
      <c r="G146"/>
      <c r="H146"/>
      <c r="I146"/>
      <c r="J146"/>
      <c r="K146"/>
      <c r="L146"/>
      <c r="M146"/>
      <c r="N146"/>
      <c r="O146"/>
      <c r="P146"/>
      <c r="Q146"/>
      <c r="R146"/>
    </row>
    <row r="147" spans="1:18" ht="15" x14ac:dyDescent="0.25">
      <c r="A147" t="s">
        <v>129</v>
      </c>
      <c r="B147">
        <v>0.10207695657322</v>
      </c>
      <c r="C147">
        <v>0.101063784780151</v>
      </c>
      <c r="D147">
        <v>0.14003625003234799</v>
      </c>
      <c r="E147"/>
      <c r="F147"/>
      <c r="G147"/>
      <c r="H147"/>
      <c r="I147"/>
      <c r="J147"/>
      <c r="K147"/>
      <c r="L147"/>
      <c r="M147"/>
      <c r="N147"/>
      <c r="O147"/>
      <c r="P147"/>
      <c r="Q147"/>
      <c r="R147"/>
    </row>
    <row r="148" spans="1:18" ht="15" x14ac:dyDescent="0.25">
      <c r="A148" t="s">
        <v>158</v>
      </c>
      <c r="B148">
        <v>4.8565161303773897E-2</v>
      </c>
      <c r="C148">
        <v>5.7470537441462001E-2</v>
      </c>
      <c r="D148">
        <v>3.5788719466506802E-2</v>
      </c>
      <c r="E148"/>
      <c r="F148"/>
      <c r="G148"/>
      <c r="H148"/>
      <c r="I148"/>
      <c r="J148"/>
      <c r="K148"/>
      <c r="L148"/>
      <c r="M148"/>
      <c r="N148"/>
      <c r="O148"/>
      <c r="P148"/>
      <c r="Q148"/>
      <c r="R148"/>
    </row>
    <row r="149" spans="1:18" ht="15" x14ac:dyDescent="0.25">
      <c r="A149" t="s">
        <v>122</v>
      </c>
      <c r="B149">
        <v>9.0994528705853894E-2</v>
      </c>
      <c r="C149">
        <v>0.138389703943433</v>
      </c>
      <c r="D149">
        <v>0.129396613941612</v>
      </c>
      <c r="E149"/>
      <c r="F149"/>
      <c r="G149"/>
      <c r="H149"/>
      <c r="I149"/>
      <c r="J149"/>
      <c r="K149"/>
      <c r="L149"/>
      <c r="M149"/>
      <c r="N149"/>
      <c r="O149"/>
      <c r="P149"/>
      <c r="Q149"/>
      <c r="R149"/>
    </row>
    <row r="150" spans="1:18" ht="15" x14ac:dyDescent="0.25">
      <c r="A150" t="s">
        <v>234</v>
      </c>
      <c r="B150">
        <v>4.5923810478297501E-2</v>
      </c>
      <c r="C150">
        <v>4.2568798295544899E-2</v>
      </c>
      <c r="D150">
        <v>3.9451297620867798E-2</v>
      </c>
      <c r="E150"/>
      <c r="F150"/>
      <c r="G150"/>
      <c r="H150"/>
      <c r="I150"/>
      <c r="J150"/>
      <c r="K150"/>
      <c r="L150"/>
      <c r="M150"/>
      <c r="N150"/>
      <c r="O150"/>
      <c r="P150"/>
      <c r="Q150"/>
      <c r="R150"/>
    </row>
    <row r="151" spans="1:18" ht="15" x14ac:dyDescent="0.25">
      <c r="A151" t="s">
        <v>115</v>
      </c>
      <c r="B151">
        <v>7.1608870730323307E-2</v>
      </c>
      <c r="C151">
        <v>7.32476225819024E-2</v>
      </c>
      <c r="D151">
        <v>9.4404383243381601E-2</v>
      </c>
      <c r="E151"/>
      <c r="F151"/>
      <c r="G151"/>
      <c r="H151"/>
      <c r="I151"/>
      <c r="J151"/>
      <c r="K151"/>
      <c r="L151"/>
      <c r="M151"/>
      <c r="N151"/>
      <c r="O151"/>
      <c r="P151"/>
      <c r="Q151"/>
      <c r="R151"/>
    </row>
    <row r="152" spans="1:18" ht="15" x14ac:dyDescent="0.25">
      <c r="A152" t="s">
        <v>121</v>
      </c>
      <c r="B152">
        <v>6.5590546812369394E-2</v>
      </c>
      <c r="C152">
        <v>6.7523121701424799E-2</v>
      </c>
      <c r="D152">
        <v>6.2008387510459201E-2</v>
      </c>
      <c r="E152"/>
      <c r="F152"/>
      <c r="G152"/>
      <c r="H152"/>
      <c r="I152"/>
      <c r="J152"/>
      <c r="K152"/>
      <c r="L152"/>
      <c r="M152"/>
      <c r="N152"/>
      <c r="O152"/>
      <c r="P152"/>
      <c r="Q152"/>
      <c r="R152"/>
    </row>
    <row r="153" spans="1:18" ht="15" x14ac:dyDescent="0.25">
      <c r="A153" t="s">
        <v>54</v>
      </c>
      <c r="B153">
        <v>4.22588036661843E-2</v>
      </c>
      <c r="C153">
        <v>3.36988204163731E-2</v>
      </c>
      <c r="D153">
        <v>4.4294561244450699E-2</v>
      </c>
      <c r="E153"/>
      <c r="F153"/>
      <c r="G153"/>
      <c r="H153"/>
      <c r="I153"/>
      <c r="J153"/>
      <c r="K153"/>
      <c r="L153"/>
      <c r="M153"/>
      <c r="N153"/>
      <c r="O153"/>
      <c r="P153"/>
      <c r="Q153"/>
      <c r="R153"/>
    </row>
    <row r="154" spans="1:18" ht="15" x14ac:dyDescent="0.25">
      <c r="A154" t="s">
        <v>132</v>
      </c>
      <c r="B154">
        <v>5.1059206248249001E-2</v>
      </c>
      <c r="C154">
        <v>4.7157799719327702E-2</v>
      </c>
      <c r="D154">
        <v>4.9600852840453298E-2</v>
      </c>
      <c r="E154"/>
      <c r="F154"/>
      <c r="G154"/>
      <c r="H154"/>
      <c r="I154"/>
      <c r="J154"/>
      <c r="K154"/>
      <c r="L154"/>
      <c r="M154"/>
      <c r="N154"/>
      <c r="O154"/>
      <c r="P154"/>
      <c r="Q154"/>
      <c r="R154"/>
    </row>
    <row r="155" spans="1:18" ht="15" x14ac:dyDescent="0.25">
      <c r="A155" t="s">
        <v>86</v>
      </c>
      <c r="B155">
        <v>8.5787673810334298E-3</v>
      </c>
      <c r="C155">
        <v>1.5135199458592799E-2</v>
      </c>
      <c r="D155">
        <v>1.1831125225290499E-2</v>
      </c>
      <c r="E155"/>
      <c r="F155"/>
      <c r="G155"/>
      <c r="H155"/>
      <c r="I155"/>
      <c r="J155"/>
      <c r="K155"/>
      <c r="L155"/>
      <c r="M155"/>
      <c r="N155"/>
      <c r="O155"/>
      <c r="P155"/>
      <c r="Q155"/>
      <c r="R155"/>
    </row>
    <row r="156" spans="1:18" ht="15" x14ac:dyDescent="0.25">
      <c r="A156" t="s">
        <v>127</v>
      </c>
      <c r="B156">
        <v>1.94320054531773E-2</v>
      </c>
      <c r="C156">
        <v>2.2764656510839101E-2</v>
      </c>
      <c r="D156">
        <v>1.95517699458564E-2</v>
      </c>
      <c r="E156"/>
      <c r="F156"/>
      <c r="G156"/>
      <c r="H156"/>
      <c r="I156"/>
      <c r="J156"/>
      <c r="K156"/>
      <c r="L156"/>
      <c r="M156"/>
      <c r="N156"/>
      <c r="O156"/>
      <c r="P156"/>
      <c r="Q156"/>
      <c r="R156"/>
    </row>
    <row r="157" spans="1:18" ht="15" x14ac:dyDescent="0.25">
      <c r="A157" t="s">
        <v>103</v>
      </c>
      <c r="B157">
        <v>8.2139858140822895E-3</v>
      </c>
      <c r="C157">
        <v>1.2689281934324399E-2</v>
      </c>
      <c r="D157">
        <v>1.5242384816164301E-2</v>
      </c>
      <c r="E157"/>
      <c r="F157"/>
      <c r="G157"/>
      <c r="H157"/>
      <c r="I157"/>
      <c r="J157"/>
      <c r="K157"/>
      <c r="L157"/>
      <c r="M157"/>
      <c r="N157"/>
      <c r="O157"/>
      <c r="P157"/>
      <c r="Q157"/>
      <c r="R157"/>
    </row>
    <row r="158" spans="1:18" ht="15" x14ac:dyDescent="0.25">
      <c r="A158" t="s">
        <v>58</v>
      </c>
      <c r="B158">
        <v>5.5480963356023703E-3</v>
      </c>
      <c r="C158">
        <v>9.1154365761781705E-3</v>
      </c>
      <c r="D158">
        <v>1.03561835532837E-2</v>
      </c>
      <c r="E158"/>
      <c r="F158"/>
      <c r="G158"/>
      <c r="H158"/>
      <c r="I158"/>
      <c r="J158"/>
      <c r="K158"/>
      <c r="L158"/>
      <c r="M158"/>
      <c r="N158"/>
      <c r="O158"/>
      <c r="P158"/>
      <c r="Q158"/>
      <c r="R158"/>
    </row>
    <row r="159" spans="1:18" ht="15" x14ac:dyDescent="0.25">
      <c r="A159"/>
      <c r="B159"/>
      <c r="C159"/>
      <c r="D159"/>
      <c r="E159"/>
      <c r="F159"/>
      <c r="G159"/>
      <c r="H159"/>
      <c r="I159"/>
      <c r="J159"/>
      <c r="K159"/>
      <c r="L159"/>
      <c r="M159"/>
      <c r="N159"/>
      <c r="O159"/>
      <c r="P159"/>
      <c r="Q159"/>
      <c r="R159"/>
    </row>
    <row r="160" spans="1:18" ht="15" x14ac:dyDescent="0.25">
      <c r="A160"/>
      <c r="B160"/>
      <c r="C160"/>
      <c r="D160"/>
      <c r="E160"/>
      <c r="F160"/>
      <c r="G160"/>
      <c r="H160"/>
      <c r="I160"/>
      <c r="J160"/>
      <c r="K160"/>
      <c r="L160"/>
      <c r="M160"/>
      <c r="N160"/>
      <c r="O160"/>
      <c r="P160"/>
      <c r="Q160"/>
      <c r="R160"/>
    </row>
    <row r="161" spans="1:18" ht="15" x14ac:dyDescent="0.25">
      <c r="A161"/>
      <c r="B161"/>
      <c r="C161"/>
      <c r="D161"/>
      <c r="E161"/>
      <c r="F161"/>
      <c r="G161"/>
      <c r="H161"/>
      <c r="I161"/>
      <c r="J161"/>
      <c r="K161"/>
      <c r="L161"/>
      <c r="M161"/>
      <c r="N161"/>
      <c r="O161"/>
      <c r="P161"/>
      <c r="Q161"/>
      <c r="R161"/>
    </row>
    <row r="162" spans="1:18" ht="15" x14ac:dyDescent="0.25">
      <c r="A162"/>
      <c r="B162"/>
      <c r="C162"/>
      <c r="D162"/>
      <c r="E162"/>
      <c r="F162"/>
      <c r="G162"/>
      <c r="H162"/>
      <c r="I162"/>
      <c r="J162"/>
      <c r="K162"/>
      <c r="L162"/>
      <c r="M162"/>
      <c r="N162"/>
      <c r="O162"/>
      <c r="P162"/>
      <c r="Q162"/>
      <c r="R162"/>
    </row>
    <row r="163" spans="1:18" ht="15" x14ac:dyDescent="0.25">
      <c r="A163"/>
      <c r="B163"/>
      <c r="C163"/>
      <c r="D163"/>
      <c r="E163"/>
      <c r="F163"/>
      <c r="G163"/>
      <c r="H163"/>
      <c r="I163"/>
      <c r="J163"/>
      <c r="K163"/>
      <c r="L163"/>
      <c r="M163"/>
      <c r="N163"/>
      <c r="O163"/>
      <c r="P163"/>
      <c r="Q163"/>
      <c r="R163"/>
    </row>
    <row r="164" spans="1:18" ht="15" x14ac:dyDescent="0.25">
      <c r="A164"/>
      <c r="B164"/>
      <c r="C164"/>
      <c r="D164"/>
      <c r="E164"/>
      <c r="F164"/>
      <c r="G164"/>
      <c r="H164"/>
      <c r="I164"/>
      <c r="J164"/>
      <c r="K164"/>
      <c r="L164"/>
      <c r="M164"/>
      <c r="N164"/>
      <c r="O164"/>
      <c r="P164"/>
      <c r="Q164"/>
      <c r="R164"/>
    </row>
    <row r="165" spans="1:18" ht="15" x14ac:dyDescent="0.25">
      <c r="A165"/>
      <c r="B165"/>
      <c r="C165"/>
      <c r="D165"/>
      <c r="E165"/>
      <c r="F165"/>
      <c r="G165"/>
      <c r="H165"/>
      <c r="I165"/>
      <c r="J165"/>
      <c r="K165"/>
      <c r="L165"/>
      <c r="M165"/>
      <c r="N165"/>
      <c r="O165"/>
      <c r="P165"/>
      <c r="Q165"/>
      <c r="R165"/>
    </row>
    <row r="166" spans="1:18" ht="15" x14ac:dyDescent="0.25">
      <c r="A166"/>
      <c r="B166"/>
      <c r="C166"/>
      <c r="D166"/>
      <c r="E166"/>
      <c r="F166"/>
      <c r="G166"/>
      <c r="H166"/>
      <c r="I166"/>
      <c r="J166"/>
      <c r="K166"/>
      <c r="L166"/>
      <c r="M166"/>
      <c r="N166"/>
      <c r="O166"/>
      <c r="P166"/>
      <c r="Q166"/>
      <c r="R166"/>
    </row>
    <row r="167" spans="1:18" ht="15" x14ac:dyDescent="0.25">
      <c r="A167"/>
      <c r="B167"/>
      <c r="C167"/>
      <c r="D167"/>
      <c r="E167"/>
      <c r="F167"/>
      <c r="G167"/>
      <c r="H167"/>
      <c r="I167"/>
      <c r="J167"/>
      <c r="K167"/>
      <c r="L167"/>
      <c r="M167"/>
      <c r="N167"/>
      <c r="O167"/>
      <c r="P167"/>
      <c r="Q167"/>
      <c r="R167"/>
    </row>
    <row r="168" spans="1:18" ht="15" x14ac:dyDescent="0.25">
      <c r="A168"/>
      <c r="B168"/>
      <c r="C168"/>
      <c r="D168"/>
      <c r="E168"/>
      <c r="F168"/>
      <c r="G168"/>
      <c r="H168"/>
      <c r="I168"/>
      <c r="J168"/>
      <c r="K168"/>
      <c r="L168"/>
      <c r="M168"/>
      <c r="N168"/>
      <c r="O168"/>
      <c r="P168"/>
      <c r="Q168"/>
      <c r="R168"/>
    </row>
    <row r="169" spans="1:18" ht="15" x14ac:dyDescent="0.25">
      <c r="A169"/>
      <c r="B169"/>
      <c r="C169"/>
      <c r="D169"/>
      <c r="E169"/>
      <c r="F169"/>
      <c r="G169"/>
      <c r="H169"/>
      <c r="I169"/>
      <c r="J169"/>
      <c r="K169"/>
      <c r="L169"/>
      <c r="M169"/>
      <c r="N169"/>
      <c r="O169"/>
      <c r="P169"/>
      <c r="Q169"/>
      <c r="R169"/>
    </row>
    <row r="170" spans="1:18" ht="15" x14ac:dyDescent="0.25">
      <c r="A170"/>
      <c r="B170"/>
      <c r="C170"/>
      <c r="D170"/>
      <c r="E170"/>
      <c r="F170"/>
      <c r="G170"/>
      <c r="H170"/>
      <c r="I170"/>
      <c r="J170"/>
      <c r="K170"/>
      <c r="L170"/>
      <c r="M170"/>
      <c r="N170"/>
      <c r="O170"/>
      <c r="P170"/>
      <c r="Q170"/>
      <c r="R170"/>
    </row>
    <row r="171" spans="1:18" ht="15" x14ac:dyDescent="0.25">
      <c r="A171"/>
      <c r="B171"/>
      <c r="C171"/>
      <c r="D171"/>
      <c r="E171"/>
      <c r="F171"/>
      <c r="G171"/>
      <c r="H171"/>
      <c r="I171"/>
      <c r="J171"/>
      <c r="K171"/>
      <c r="L171"/>
      <c r="M171"/>
      <c r="N171"/>
      <c r="O171"/>
      <c r="P171"/>
      <c r="Q171"/>
      <c r="R171"/>
    </row>
    <row r="172" spans="1:18" ht="15" x14ac:dyDescent="0.25">
      <c r="A172"/>
      <c r="B172"/>
      <c r="C172"/>
      <c r="D172"/>
      <c r="E172"/>
      <c r="F172"/>
      <c r="G172"/>
      <c r="H172"/>
      <c r="I172"/>
      <c r="J172"/>
      <c r="K172"/>
      <c r="L172"/>
      <c r="M172"/>
      <c r="N172"/>
      <c r="O172"/>
      <c r="P172"/>
      <c r="Q172"/>
      <c r="R172"/>
    </row>
    <row r="173" spans="1:18" ht="15" x14ac:dyDescent="0.25">
      <c r="A173"/>
      <c r="B173"/>
      <c r="C173"/>
      <c r="D173"/>
      <c r="E173"/>
      <c r="F173"/>
      <c r="G173"/>
      <c r="H173"/>
      <c r="I173"/>
      <c r="J173"/>
      <c r="K173"/>
      <c r="L173"/>
      <c r="M173"/>
      <c r="N173"/>
      <c r="O173"/>
      <c r="P173"/>
      <c r="Q173"/>
      <c r="R173"/>
    </row>
    <row r="174" spans="1:18" ht="15" x14ac:dyDescent="0.25">
      <c r="A174"/>
      <c r="B174"/>
      <c r="C174"/>
      <c r="D174"/>
      <c r="E174"/>
      <c r="F174"/>
      <c r="G174"/>
      <c r="H174"/>
      <c r="I174"/>
      <c r="J174"/>
      <c r="K174"/>
      <c r="L174"/>
      <c r="M174"/>
      <c r="N174"/>
      <c r="O174"/>
      <c r="P174"/>
      <c r="Q174"/>
      <c r="R174"/>
    </row>
    <row r="175" spans="1:18" ht="15" x14ac:dyDescent="0.25">
      <c r="A175"/>
      <c r="B175"/>
      <c r="C175"/>
      <c r="D175"/>
      <c r="E175"/>
      <c r="F175"/>
      <c r="G175"/>
      <c r="H175"/>
      <c r="I175"/>
      <c r="J175"/>
      <c r="K175"/>
      <c r="L175"/>
      <c r="M175"/>
      <c r="N175"/>
      <c r="O175"/>
      <c r="P175"/>
      <c r="Q175"/>
      <c r="R175"/>
    </row>
    <row r="176" spans="1:18" ht="15" x14ac:dyDescent="0.25">
      <c r="A176"/>
      <c r="B176"/>
      <c r="C176"/>
      <c r="D176"/>
      <c r="E176"/>
      <c r="F176"/>
      <c r="G176"/>
      <c r="H176"/>
      <c r="I176"/>
      <c r="J176"/>
      <c r="K176"/>
      <c r="L176"/>
      <c r="M176"/>
      <c r="N176"/>
      <c r="O176"/>
      <c r="P176"/>
      <c r="Q176"/>
      <c r="R176"/>
    </row>
    <row r="177" spans="1:18" ht="15" x14ac:dyDescent="0.25">
      <c r="A177"/>
      <c r="B177"/>
      <c r="C177"/>
      <c r="D177"/>
      <c r="E177"/>
      <c r="F177"/>
      <c r="G177"/>
      <c r="H177"/>
      <c r="I177"/>
      <c r="J177"/>
      <c r="K177"/>
      <c r="L177"/>
      <c r="M177"/>
      <c r="N177"/>
      <c r="O177"/>
      <c r="P177"/>
      <c r="Q177"/>
      <c r="R177"/>
    </row>
    <row r="178" spans="1:18" ht="15" x14ac:dyDescent="0.25">
      <c r="A178"/>
      <c r="B178"/>
      <c r="C178"/>
      <c r="D178"/>
      <c r="E178"/>
      <c r="F178"/>
      <c r="G178"/>
      <c r="H178"/>
      <c r="I178"/>
      <c r="J178"/>
      <c r="K178"/>
      <c r="L178"/>
      <c r="M178"/>
      <c r="N178"/>
      <c r="O178"/>
      <c r="P178"/>
      <c r="Q178"/>
      <c r="R178"/>
    </row>
    <row r="179" spans="1:18" ht="15" x14ac:dyDescent="0.25">
      <c r="A179"/>
      <c r="B179"/>
      <c r="C179"/>
      <c r="D179"/>
      <c r="E179"/>
      <c r="F179"/>
      <c r="G179"/>
      <c r="H179"/>
      <c r="I179"/>
      <c r="J179"/>
      <c r="K179"/>
      <c r="L179"/>
      <c r="M179"/>
      <c r="N179"/>
      <c r="O179"/>
      <c r="P179"/>
      <c r="Q179"/>
      <c r="R179"/>
    </row>
    <row r="180" spans="1:18" ht="15" x14ac:dyDescent="0.25">
      <c r="A180"/>
      <c r="B180"/>
      <c r="C180"/>
      <c r="D180"/>
      <c r="E180"/>
      <c r="F180"/>
      <c r="G180"/>
      <c r="H180"/>
      <c r="I180"/>
      <c r="J180"/>
      <c r="K180"/>
      <c r="L180"/>
      <c r="M180"/>
      <c r="N180"/>
      <c r="O180"/>
      <c r="P180"/>
      <c r="Q180"/>
      <c r="R180"/>
    </row>
    <row r="181" spans="1:18" ht="15" x14ac:dyDescent="0.25">
      <c r="A181"/>
      <c r="B181"/>
      <c r="C181"/>
      <c r="D181"/>
      <c r="E181"/>
      <c r="F181"/>
      <c r="G181"/>
      <c r="H181"/>
      <c r="I181"/>
      <c r="J181"/>
      <c r="K181"/>
      <c r="L181"/>
      <c r="M181"/>
      <c r="N181"/>
      <c r="O181"/>
      <c r="P181"/>
      <c r="Q181"/>
      <c r="R181"/>
    </row>
    <row r="182" spans="1:18" ht="15" x14ac:dyDescent="0.25">
      <c r="A182"/>
      <c r="B182"/>
      <c r="C182"/>
      <c r="D182"/>
      <c r="E182"/>
      <c r="F182"/>
      <c r="G182"/>
      <c r="H182"/>
      <c r="I182"/>
      <c r="J182"/>
      <c r="K182"/>
      <c r="L182"/>
      <c r="M182"/>
      <c r="N182"/>
      <c r="O182"/>
      <c r="P182"/>
      <c r="Q182"/>
      <c r="R182"/>
    </row>
    <row r="183" spans="1:18" ht="15" x14ac:dyDescent="0.25">
      <c r="A183"/>
      <c r="B183"/>
      <c r="C183"/>
      <c r="D183"/>
      <c r="E183"/>
      <c r="F183"/>
      <c r="G183"/>
      <c r="H183"/>
      <c r="I183"/>
      <c r="J183"/>
      <c r="K183"/>
      <c r="L183"/>
      <c r="M183"/>
      <c r="N183"/>
      <c r="O183"/>
      <c r="P183"/>
      <c r="Q183"/>
      <c r="R183"/>
    </row>
    <row r="184" spans="1:18" ht="15" x14ac:dyDescent="0.25">
      <c r="A184"/>
      <c r="B184"/>
      <c r="C184"/>
      <c r="D184"/>
      <c r="E184"/>
      <c r="F184"/>
      <c r="G184"/>
      <c r="H184"/>
      <c r="I184"/>
      <c r="J184"/>
      <c r="K184"/>
      <c r="L184"/>
      <c r="M184"/>
      <c r="N184"/>
      <c r="O184"/>
      <c r="P184"/>
      <c r="Q184"/>
      <c r="R184"/>
    </row>
    <row r="185" spans="1:18" ht="15" x14ac:dyDescent="0.25">
      <c r="A185"/>
      <c r="B185"/>
      <c r="C185"/>
      <c r="D185"/>
      <c r="E185"/>
      <c r="F185"/>
      <c r="G185"/>
      <c r="H185"/>
      <c r="I185"/>
      <c r="J185"/>
      <c r="K185"/>
      <c r="L185"/>
      <c r="M185"/>
      <c r="N185"/>
      <c r="O185"/>
      <c r="P185"/>
      <c r="Q185"/>
      <c r="R185"/>
    </row>
    <row r="186" spans="1:18" ht="15" x14ac:dyDescent="0.25">
      <c r="A186"/>
      <c r="B186"/>
      <c r="C186"/>
      <c r="D186"/>
      <c r="E186"/>
      <c r="F186"/>
      <c r="G186"/>
      <c r="H186"/>
      <c r="I186"/>
      <c r="J186"/>
      <c r="K186"/>
      <c r="L186"/>
      <c r="M186"/>
      <c r="N186"/>
      <c r="O186"/>
      <c r="P186"/>
      <c r="Q186"/>
      <c r="R186"/>
    </row>
    <row r="187" spans="1:18" ht="15" x14ac:dyDescent="0.25">
      <c r="A187"/>
      <c r="B187"/>
      <c r="C187"/>
      <c r="D187"/>
      <c r="E187"/>
      <c r="F187"/>
      <c r="G187"/>
      <c r="H187"/>
      <c r="I187"/>
      <c r="J187"/>
      <c r="K187"/>
      <c r="L187"/>
      <c r="M187"/>
      <c r="N187"/>
      <c r="O187"/>
      <c r="P187"/>
      <c r="Q187"/>
      <c r="R187"/>
    </row>
    <row r="188" spans="1:18" ht="15" x14ac:dyDescent="0.25">
      <c r="A188"/>
      <c r="B188"/>
      <c r="C188"/>
      <c r="D188"/>
      <c r="E188"/>
      <c r="F188"/>
      <c r="G188"/>
      <c r="H188"/>
      <c r="I188"/>
      <c r="J188"/>
      <c r="K188"/>
      <c r="L188"/>
      <c r="M188"/>
      <c r="N188"/>
      <c r="O188"/>
      <c r="P188"/>
      <c r="Q188"/>
      <c r="R188"/>
    </row>
    <row r="189" spans="1:18" ht="15" x14ac:dyDescent="0.25">
      <c r="A189"/>
      <c r="B189"/>
      <c r="C189"/>
      <c r="D189"/>
      <c r="E189"/>
      <c r="F189"/>
      <c r="G189"/>
      <c r="H189"/>
      <c r="I189"/>
      <c r="J189"/>
      <c r="K189"/>
      <c r="L189"/>
      <c r="M189"/>
      <c r="N189"/>
      <c r="O189"/>
      <c r="P189"/>
      <c r="Q189"/>
      <c r="R189"/>
    </row>
    <row r="190" spans="1:18" ht="15" x14ac:dyDescent="0.25">
      <c r="A190"/>
      <c r="B190"/>
      <c r="C190"/>
      <c r="D190"/>
      <c r="E190"/>
      <c r="F190"/>
      <c r="G190"/>
      <c r="H190"/>
      <c r="I190"/>
      <c r="J190"/>
      <c r="K190"/>
      <c r="L190"/>
      <c r="M190"/>
      <c r="N190"/>
      <c r="O190"/>
      <c r="P190"/>
      <c r="Q190"/>
      <c r="R190"/>
    </row>
    <row r="191" spans="1:18" ht="15" x14ac:dyDescent="0.25">
      <c r="A191"/>
      <c r="B191"/>
      <c r="C191"/>
      <c r="D191"/>
      <c r="E191"/>
      <c r="F191"/>
      <c r="G191"/>
      <c r="H191"/>
      <c r="I191"/>
      <c r="J191"/>
      <c r="K191"/>
      <c r="L191"/>
      <c r="M191"/>
      <c r="N191"/>
      <c r="O191"/>
      <c r="P191"/>
      <c r="Q191"/>
      <c r="R191"/>
    </row>
    <row r="192" spans="1:18" ht="15" x14ac:dyDescent="0.25">
      <c r="A192"/>
      <c r="B192"/>
      <c r="C192"/>
      <c r="D192"/>
      <c r="E192"/>
      <c r="F192"/>
      <c r="G192"/>
      <c r="H192"/>
      <c r="I192"/>
      <c r="J192"/>
      <c r="K192"/>
      <c r="L192"/>
      <c r="M192"/>
      <c r="N192"/>
      <c r="O192"/>
      <c r="P192"/>
      <c r="Q192"/>
      <c r="R192"/>
    </row>
    <row r="193" spans="1:18" ht="15" x14ac:dyDescent="0.25">
      <c r="A193"/>
      <c r="B193"/>
      <c r="C193"/>
      <c r="D193"/>
      <c r="E193"/>
      <c r="F193"/>
      <c r="G193"/>
      <c r="H193"/>
      <c r="I193"/>
      <c r="J193"/>
      <c r="K193"/>
      <c r="L193"/>
      <c r="M193"/>
      <c r="N193"/>
      <c r="O193"/>
      <c r="P193"/>
      <c r="Q193"/>
      <c r="R193"/>
    </row>
    <row r="194" spans="1:18" ht="15" x14ac:dyDescent="0.25">
      <c r="A194"/>
      <c r="B194"/>
      <c r="C194"/>
      <c r="D194"/>
      <c r="E194"/>
      <c r="F194"/>
      <c r="G194"/>
      <c r="H194"/>
      <c r="I194"/>
      <c r="J194"/>
      <c r="K194"/>
      <c r="L194"/>
      <c r="M194"/>
      <c r="N194"/>
      <c r="O194"/>
      <c r="P194"/>
      <c r="Q194"/>
      <c r="R194"/>
    </row>
    <row r="195" spans="1:18" ht="15" x14ac:dyDescent="0.25">
      <c r="A195"/>
      <c r="B195"/>
      <c r="C195"/>
      <c r="D195"/>
      <c r="E195"/>
      <c r="F195"/>
      <c r="G195"/>
      <c r="H195"/>
      <c r="I195"/>
      <c r="J195"/>
      <c r="K195"/>
      <c r="L195"/>
      <c r="M195"/>
      <c r="N195"/>
      <c r="O195"/>
      <c r="P195"/>
      <c r="Q195"/>
      <c r="R195"/>
    </row>
    <row r="196" spans="1:18" ht="15" x14ac:dyDescent="0.25">
      <c r="A196"/>
      <c r="B196"/>
      <c r="C196"/>
      <c r="D196"/>
      <c r="E196"/>
      <c r="F196"/>
      <c r="G196"/>
      <c r="H196"/>
      <c r="I196"/>
      <c r="J196"/>
      <c r="K196"/>
      <c r="L196"/>
      <c r="M196"/>
      <c r="N196"/>
      <c r="O196"/>
      <c r="P196"/>
      <c r="Q196"/>
      <c r="R196"/>
    </row>
    <row r="197" spans="1:18" ht="15" x14ac:dyDescent="0.25">
      <c r="A197"/>
      <c r="B197"/>
      <c r="C197"/>
      <c r="D197"/>
      <c r="E197"/>
      <c r="F197"/>
      <c r="G197"/>
      <c r="H197"/>
      <c r="I197"/>
      <c r="J197"/>
      <c r="K197"/>
      <c r="L197"/>
      <c r="M197"/>
      <c r="N197"/>
      <c r="O197"/>
      <c r="P197"/>
      <c r="Q197"/>
      <c r="R197"/>
    </row>
    <row r="198" spans="1:18" ht="15" x14ac:dyDescent="0.25">
      <c r="A198"/>
      <c r="B198"/>
      <c r="C198"/>
      <c r="D198"/>
      <c r="E198"/>
      <c r="F198"/>
      <c r="G198"/>
      <c r="H198"/>
      <c r="I198"/>
      <c r="J198"/>
      <c r="K198"/>
      <c r="L198"/>
      <c r="M198"/>
      <c r="N198"/>
      <c r="O198"/>
      <c r="P198"/>
      <c r="Q198"/>
      <c r="R198"/>
    </row>
    <row r="199" spans="1:18" ht="15" x14ac:dyDescent="0.25">
      <c r="A199"/>
      <c r="B199"/>
      <c r="C199"/>
      <c r="D199"/>
      <c r="E199"/>
      <c r="F199"/>
      <c r="G199"/>
      <c r="H199"/>
      <c r="I199"/>
      <c r="J199"/>
      <c r="K199"/>
      <c r="L199"/>
      <c r="M199"/>
      <c r="N199"/>
      <c r="O199"/>
      <c r="P199"/>
      <c r="Q199"/>
      <c r="R199"/>
    </row>
    <row r="200" spans="1:18" ht="15" x14ac:dyDescent="0.25">
      <c r="A200"/>
      <c r="B200"/>
      <c r="C200"/>
      <c r="D200"/>
      <c r="E200"/>
      <c r="F200"/>
      <c r="G200"/>
      <c r="H200"/>
      <c r="I200"/>
      <c r="J200"/>
      <c r="K200"/>
      <c r="L200"/>
      <c r="M200"/>
      <c r="N200"/>
      <c r="O200"/>
      <c r="P200"/>
      <c r="Q200"/>
      <c r="R200"/>
    </row>
    <row r="201" spans="1:18" ht="15" x14ac:dyDescent="0.25">
      <c r="A201"/>
      <c r="B201"/>
      <c r="C201"/>
      <c r="D201"/>
      <c r="E201"/>
      <c r="F201"/>
      <c r="G201"/>
      <c r="H201"/>
      <c r="I201"/>
      <c r="J201"/>
      <c r="K201"/>
      <c r="L201"/>
      <c r="M201"/>
      <c r="N201"/>
      <c r="O201"/>
      <c r="P201"/>
      <c r="Q201"/>
      <c r="R201"/>
    </row>
    <row r="202" spans="1:18" ht="15" x14ac:dyDescent="0.25">
      <c r="A202"/>
      <c r="B202"/>
      <c r="C202"/>
      <c r="D202"/>
      <c r="E202"/>
      <c r="F202"/>
      <c r="G202"/>
      <c r="H202"/>
      <c r="I202"/>
      <c r="J202"/>
      <c r="K202"/>
      <c r="L202"/>
      <c r="M202"/>
      <c r="N202"/>
      <c r="O202"/>
      <c r="P202"/>
      <c r="Q202"/>
      <c r="R202"/>
    </row>
    <row r="203" spans="1:18" ht="15" x14ac:dyDescent="0.25">
      <c r="A203"/>
      <c r="B203"/>
      <c r="C203"/>
      <c r="D203"/>
      <c r="E203"/>
      <c r="F203"/>
      <c r="G203"/>
      <c r="H203"/>
      <c r="I203"/>
      <c r="J203"/>
      <c r="K203"/>
      <c r="L203"/>
      <c r="M203"/>
      <c r="N203"/>
      <c r="O203"/>
      <c r="P203"/>
      <c r="Q203"/>
      <c r="R203"/>
    </row>
    <row r="204" spans="1:18" ht="15" x14ac:dyDescent="0.25">
      <c r="A204"/>
      <c r="B204"/>
      <c r="C204"/>
      <c r="D204"/>
      <c r="E204"/>
      <c r="F204"/>
      <c r="G204"/>
      <c r="H204"/>
      <c r="I204"/>
      <c r="J204"/>
      <c r="K204"/>
      <c r="L204"/>
      <c r="M204"/>
      <c r="N204"/>
      <c r="O204"/>
      <c r="P204"/>
      <c r="Q204"/>
      <c r="R204"/>
    </row>
    <row r="205" spans="1:18" ht="15" x14ac:dyDescent="0.25">
      <c r="A205"/>
      <c r="B205"/>
      <c r="C205"/>
      <c r="D205"/>
      <c r="E205"/>
      <c r="F205"/>
      <c r="G205"/>
      <c r="H205"/>
      <c r="I205"/>
      <c r="J205"/>
      <c r="K205"/>
      <c r="L205"/>
      <c r="M205"/>
      <c r="N205"/>
      <c r="O205"/>
      <c r="P205"/>
      <c r="Q205"/>
      <c r="R205"/>
    </row>
    <row r="206" spans="1:18" ht="15" x14ac:dyDescent="0.25">
      <c r="A206"/>
      <c r="B206"/>
      <c r="C206"/>
      <c r="D206"/>
      <c r="E206"/>
      <c r="F206"/>
      <c r="G206"/>
      <c r="H206"/>
      <c r="I206"/>
      <c r="J206"/>
      <c r="K206"/>
      <c r="L206"/>
      <c r="M206"/>
      <c r="N206"/>
      <c r="O206"/>
      <c r="P206"/>
      <c r="Q206"/>
      <c r="R206"/>
    </row>
    <row r="207" spans="1:18" ht="15" x14ac:dyDescent="0.25">
      <c r="A207"/>
      <c r="B207"/>
      <c r="C207"/>
      <c r="D207"/>
      <c r="E207"/>
      <c r="F207"/>
      <c r="G207"/>
      <c r="H207"/>
      <c r="I207"/>
      <c r="J207"/>
      <c r="K207"/>
      <c r="L207"/>
      <c r="M207"/>
      <c r="N207"/>
      <c r="O207"/>
      <c r="P207"/>
      <c r="Q207"/>
      <c r="R207"/>
    </row>
    <row r="208" spans="1:18" ht="15" x14ac:dyDescent="0.25">
      <c r="A208"/>
      <c r="B208"/>
      <c r="C208"/>
      <c r="D208"/>
      <c r="E208"/>
      <c r="F208"/>
      <c r="G208"/>
      <c r="H208"/>
      <c r="I208"/>
      <c r="J208"/>
      <c r="K208"/>
      <c r="L208"/>
      <c r="M208"/>
      <c r="N208"/>
      <c r="O208"/>
      <c r="P208"/>
      <c r="Q208"/>
      <c r="R208"/>
    </row>
    <row r="209" spans="1:18" ht="15" x14ac:dyDescent="0.25">
      <c r="A209"/>
      <c r="B209"/>
      <c r="C209"/>
      <c r="D209"/>
      <c r="E209"/>
      <c r="F209"/>
      <c r="G209"/>
      <c r="H209"/>
      <c r="I209"/>
      <c r="J209"/>
      <c r="K209"/>
      <c r="L209"/>
      <c r="M209"/>
      <c r="N209"/>
      <c r="O209"/>
      <c r="P209"/>
      <c r="Q209"/>
      <c r="R209"/>
    </row>
    <row r="210" spans="1:18" ht="15" x14ac:dyDescent="0.25">
      <c r="A210"/>
      <c r="B210"/>
      <c r="C210"/>
      <c r="D210"/>
      <c r="E210"/>
      <c r="F210"/>
      <c r="G210"/>
      <c r="H210"/>
      <c r="I210"/>
      <c r="J210"/>
      <c r="K210"/>
      <c r="L210"/>
      <c r="M210"/>
      <c r="N210"/>
      <c r="O210"/>
      <c r="P210"/>
      <c r="Q210"/>
      <c r="R210"/>
    </row>
    <row r="211" spans="1:18" ht="15" x14ac:dyDescent="0.25">
      <c r="A211"/>
      <c r="B211"/>
      <c r="C211"/>
      <c r="D211"/>
      <c r="E211"/>
      <c r="F211"/>
      <c r="G211"/>
      <c r="H211"/>
      <c r="I211"/>
      <c r="J211"/>
      <c r="K211"/>
      <c r="L211"/>
      <c r="M211"/>
      <c r="N211"/>
      <c r="O211"/>
      <c r="P211"/>
      <c r="Q211"/>
      <c r="R211"/>
    </row>
    <row r="212" spans="1:18" ht="15" x14ac:dyDescent="0.25">
      <c r="A212"/>
      <c r="B212"/>
      <c r="C212"/>
      <c r="D212"/>
      <c r="E212"/>
      <c r="F212"/>
      <c r="G212"/>
      <c r="H212"/>
      <c r="I212"/>
      <c r="J212"/>
      <c r="K212"/>
      <c r="L212"/>
      <c r="M212"/>
      <c r="N212"/>
      <c r="O212"/>
      <c r="P212"/>
      <c r="Q212"/>
      <c r="R212"/>
    </row>
    <row r="213" spans="1:18" ht="15" x14ac:dyDescent="0.25">
      <c r="A213"/>
      <c r="B213"/>
      <c r="C213"/>
      <c r="D213"/>
      <c r="E213"/>
      <c r="F213"/>
      <c r="G213"/>
      <c r="H213"/>
      <c r="I213"/>
      <c r="J213"/>
      <c r="K213"/>
      <c r="L213"/>
      <c r="M213"/>
      <c r="N213"/>
      <c r="O213"/>
      <c r="P213"/>
      <c r="Q213"/>
      <c r="R213"/>
    </row>
    <row r="214" spans="1:18" ht="15" x14ac:dyDescent="0.25">
      <c r="A214"/>
      <c r="B214"/>
      <c r="C214"/>
      <c r="D214"/>
      <c r="E214"/>
      <c r="F214"/>
      <c r="G214"/>
      <c r="H214"/>
      <c r="I214"/>
      <c r="J214"/>
      <c r="K214"/>
      <c r="L214"/>
      <c r="M214"/>
      <c r="N214"/>
      <c r="O214"/>
      <c r="P214"/>
      <c r="Q214"/>
      <c r="R214"/>
    </row>
    <row r="215" spans="1:18" ht="15" x14ac:dyDescent="0.25">
      <c r="A215"/>
      <c r="B215"/>
      <c r="C215"/>
      <c r="D215"/>
      <c r="E215"/>
      <c r="F215"/>
      <c r="G215"/>
      <c r="H215"/>
      <c r="I215"/>
      <c r="J215"/>
      <c r="K215"/>
      <c r="L215"/>
      <c r="M215"/>
      <c r="N215"/>
      <c r="O215"/>
      <c r="P215"/>
      <c r="Q215"/>
      <c r="R215"/>
    </row>
    <row r="216" spans="1:18" ht="15" x14ac:dyDescent="0.25">
      <c r="A216"/>
      <c r="B216"/>
      <c r="C216"/>
      <c r="D216"/>
      <c r="E216"/>
      <c r="F216"/>
      <c r="G216"/>
      <c r="H216"/>
      <c r="I216"/>
      <c r="J216"/>
      <c r="K216"/>
      <c r="L216"/>
      <c r="M216"/>
      <c r="N216"/>
      <c r="O216"/>
      <c r="P216"/>
      <c r="Q216"/>
      <c r="R216"/>
    </row>
    <row r="217" spans="1:18" ht="15" x14ac:dyDescent="0.25">
      <c r="A217"/>
      <c r="B217"/>
      <c r="C217"/>
      <c r="D217"/>
      <c r="E217"/>
      <c r="F217"/>
      <c r="G217"/>
      <c r="H217"/>
      <c r="I217"/>
      <c r="J217"/>
      <c r="K217"/>
      <c r="L217"/>
      <c r="M217"/>
      <c r="N217"/>
      <c r="O217"/>
      <c r="P217"/>
      <c r="Q217"/>
      <c r="R217"/>
    </row>
    <row r="218" spans="1:18" ht="15" x14ac:dyDescent="0.25">
      <c r="A218"/>
      <c r="B218"/>
      <c r="C218"/>
      <c r="D218"/>
      <c r="E218"/>
      <c r="F218"/>
      <c r="G218"/>
      <c r="H218"/>
      <c r="I218"/>
      <c r="J218"/>
      <c r="K218"/>
      <c r="L218"/>
      <c r="M218"/>
      <c r="N218"/>
      <c r="O218"/>
      <c r="P218"/>
      <c r="Q218"/>
      <c r="R218"/>
    </row>
    <row r="219" spans="1:18" ht="15" x14ac:dyDescent="0.25">
      <c r="A219"/>
      <c r="B219"/>
      <c r="C219"/>
      <c r="D219"/>
      <c r="E219"/>
      <c r="F219"/>
      <c r="G219"/>
      <c r="H219"/>
      <c r="I219"/>
      <c r="J219"/>
      <c r="K219"/>
      <c r="L219"/>
      <c r="M219"/>
      <c r="N219"/>
      <c r="O219"/>
      <c r="P219"/>
      <c r="Q219"/>
      <c r="R219"/>
    </row>
    <row r="220" spans="1:18" ht="15" x14ac:dyDescent="0.25">
      <c r="A220"/>
      <c r="B220"/>
      <c r="C220"/>
      <c r="D220"/>
      <c r="E220"/>
      <c r="F220"/>
      <c r="G220"/>
      <c r="H220"/>
      <c r="I220"/>
      <c r="J220"/>
      <c r="K220"/>
      <c r="L220"/>
      <c r="M220"/>
      <c r="N220"/>
      <c r="O220"/>
      <c r="P220"/>
      <c r="Q220"/>
      <c r="R220"/>
    </row>
    <row r="221" spans="1:18" ht="15" x14ac:dyDescent="0.25">
      <c r="A221"/>
      <c r="B221"/>
      <c r="C221"/>
      <c r="D221"/>
      <c r="E221"/>
      <c r="F221"/>
      <c r="G221"/>
      <c r="H221"/>
      <c r="I221"/>
      <c r="J221"/>
      <c r="K221"/>
      <c r="L221"/>
      <c r="M221"/>
      <c r="N221"/>
      <c r="O221"/>
      <c r="P221"/>
      <c r="Q221"/>
      <c r="R221"/>
    </row>
    <row r="222" spans="1:18" ht="15" x14ac:dyDescent="0.25">
      <c r="A222"/>
      <c r="B222"/>
      <c r="C222"/>
      <c r="D222"/>
      <c r="E222"/>
      <c r="F222"/>
      <c r="G222"/>
      <c r="H222"/>
      <c r="I222"/>
      <c r="J222"/>
      <c r="K222"/>
      <c r="L222"/>
      <c r="M222"/>
      <c r="N222"/>
      <c r="O222"/>
      <c r="P222"/>
      <c r="Q222"/>
      <c r="R222"/>
    </row>
    <row r="223" spans="1:18" ht="15" x14ac:dyDescent="0.25">
      <c r="A223"/>
      <c r="B223"/>
      <c r="C223"/>
      <c r="D223"/>
      <c r="E223"/>
      <c r="F223"/>
      <c r="G223"/>
      <c r="H223"/>
      <c r="I223"/>
      <c r="J223"/>
      <c r="K223"/>
      <c r="L223"/>
      <c r="M223"/>
      <c r="N223"/>
      <c r="O223"/>
      <c r="P223"/>
      <c r="Q223"/>
      <c r="R223"/>
    </row>
    <row r="224" spans="1:18" ht="15" x14ac:dyDescent="0.25">
      <c r="A224"/>
      <c r="B224"/>
      <c r="C224"/>
      <c r="D224"/>
      <c r="E224"/>
      <c r="F224"/>
      <c r="G224"/>
      <c r="H224"/>
      <c r="I224"/>
      <c r="J224"/>
      <c r="K224"/>
      <c r="L224"/>
      <c r="M224"/>
      <c r="N224"/>
      <c r="O224"/>
      <c r="P224"/>
      <c r="Q224"/>
      <c r="R224"/>
    </row>
    <row r="225" spans="1:18" ht="15" x14ac:dyDescent="0.25">
      <c r="A225"/>
      <c r="B225"/>
      <c r="C225"/>
      <c r="D225"/>
      <c r="E225"/>
      <c r="F225"/>
      <c r="G225"/>
      <c r="H225"/>
      <c r="I225"/>
      <c r="J225"/>
      <c r="K225"/>
      <c r="L225"/>
      <c r="M225"/>
      <c r="N225"/>
      <c r="O225"/>
      <c r="P225"/>
      <c r="Q225"/>
      <c r="R225"/>
    </row>
    <row r="226" spans="1:18" ht="15" x14ac:dyDescent="0.25">
      <c r="A226"/>
      <c r="B226"/>
      <c r="C226"/>
      <c r="D226"/>
      <c r="E226"/>
      <c r="F226"/>
      <c r="G226"/>
      <c r="H226"/>
      <c r="I226"/>
      <c r="J226"/>
      <c r="K226"/>
      <c r="L226"/>
      <c r="M226"/>
      <c r="N226"/>
      <c r="O226"/>
      <c r="P226"/>
      <c r="Q226"/>
      <c r="R226"/>
    </row>
    <row r="227" spans="1:18" ht="15" x14ac:dyDescent="0.25">
      <c r="A227"/>
      <c r="B227"/>
      <c r="C227"/>
      <c r="D227"/>
      <c r="E227"/>
      <c r="F227"/>
      <c r="G227"/>
      <c r="H227"/>
      <c r="I227"/>
      <c r="J227"/>
      <c r="K227"/>
      <c r="L227"/>
      <c r="M227"/>
      <c r="N227"/>
      <c r="O227"/>
      <c r="P227"/>
      <c r="Q227"/>
      <c r="R227"/>
    </row>
    <row r="228" spans="1:18" ht="15" x14ac:dyDescent="0.25">
      <c r="A228"/>
      <c r="B228"/>
      <c r="C228"/>
      <c r="D228"/>
      <c r="E228"/>
      <c r="F228"/>
      <c r="G228"/>
      <c r="H228"/>
      <c r="I228"/>
      <c r="J228"/>
      <c r="K228"/>
      <c r="L228"/>
      <c r="M228"/>
      <c r="N228"/>
      <c r="O228"/>
      <c r="P228"/>
      <c r="Q228"/>
      <c r="R228"/>
    </row>
    <row r="229" spans="1:18" ht="15" x14ac:dyDescent="0.25">
      <c r="A229"/>
      <c r="B229"/>
      <c r="C229"/>
      <c r="D229"/>
      <c r="E229"/>
      <c r="F229"/>
      <c r="G229"/>
      <c r="H229"/>
      <c r="I229"/>
      <c r="J229"/>
      <c r="K229"/>
      <c r="L229"/>
      <c r="M229"/>
      <c r="N229"/>
      <c r="O229"/>
      <c r="P229"/>
      <c r="Q229"/>
      <c r="R229"/>
    </row>
    <row r="230" spans="1:18" ht="15" x14ac:dyDescent="0.25">
      <c r="A230"/>
      <c r="B230"/>
      <c r="C230"/>
      <c r="D230"/>
      <c r="E230"/>
      <c r="F230"/>
      <c r="G230"/>
      <c r="H230"/>
      <c r="I230"/>
      <c r="J230"/>
      <c r="K230"/>
      <c r="L230"/>
      <c r="M230"/>
      <c r="N230"/>
      <c r="O230"/>
      <c r="P230"/>
      <c r="Q230"/>
      <c r="R230"/>
    </row>
    <row r="231" spans="1:18" ht="15" x14ac:dyDescent="0.25">
      <c r="A231"/>
      <c r="B231"/>
      <c r="C231"/>
      <c r="D231"/>
      <c r="E231"/>
      <c r="F231"/>
      <c r="G231"/>
      <c r="H231"/>
      <c r="I231"/>
      <c r="J231"/>
      <c r="K231"/>
      <c r="L231"/>
      <c r="M231"/>
      <c r="N231"/>
      <c r="O231"/>
      <c r="P231"/>
      <c r="Q231"/>
      <c r="R231"/>
    </row>
    <row r="232" spans="1:18" ht="15" x14ac:dyDescent="0.25">
      <c r="A232"/>
      <c r="B232"/>
      <c r="C232"/>
      <c r="D232"/>
      <c r="E232"/>
      <c r="F232"/>
      <c r="G232"/>
      <c r="H232"/>
      <c r="I232"/>
      <c r="J232"/>
      <c r="K232"/>
      <c r="L232"/>
      <c r="M232"/>
      <c r="N232"/>
      <c r="O232"/>
      <c r="P232"/>
      <c r="Q232"/>
      <c r="R232"/>
    </row>
    <row r="233" spans="1:18" ht="15" x14ac:dyDescent="0.25">
      <c r="A233"/>
      <c r="B233"/>
      <c r="C233"/>
      <c r="D233"/>
      <c r="E233"/>
      <c r="F233"/>
      <c r="G233"/>
      <c r="H233"/>
      <c r="I233"/>
      <c r="J233"/>
      <c r="K233"/>
      <c r="L233"/>
      <c r="M233"/>
      <c r="N233"/>
      <c r="O233"/>
      <c r="P233"/>
      <c r="Q233"/>
      <c r="R233"/>
    </row>
    <row r="234" spans="1:18" ht="15" x14ac:dyDescent="0.25">
      <c r="A234"/>
      <c r="B234"/>
      <c r="C234"/>
      <c r="D234"/>
      <c r="E234"/>
      <c r="F234"/>
      <c r="G234"/>
      <c r="H234"/>
      <c r="I234"/>
      <c r="J234"/>
      <c r="K234"/>
      <c r="L234"/>
      <c r="M234"/>
      <c r="N234"/>
      <c r="O234"/>
      <c r="P234"/>
      <c r="Q234"/>
      <c r="R234"/>
    </row>
    <row r="235" spans="1:18" ht="15" x14ac:dyDescent="0.25">
      <c r="A235"/>
      <c r="B235"/>
      <c r="C235"/>
      <c r="D235"/>
      <c r="E235"/>
      <c r="F235"/>
      <c r="G235"/>
      <c r="H235"/>
      <c r="I235"/>
      <c r="J235"/>
      <c r="K235"/>
      <c r="L235"/>
      <c r="M235"/>
      <c r="N235"/>
      <c r="O235"/>
      <c r="P235"/>
      <c r="Q235"/>
      <c r="R235"/>
    </row>
    <row r="236" spans="1:18" ht="15" x14ac:dyDescent="0.25">
      <c r="A236"/>
      <c r="B236"/>
      <c r="C236"/>
      <c r="D236"/>
      <c r="E236"/>
      <c r="F236"/>
      <c r="G236"/>
      <c r="H236"/>
      <c r="I236"/>
      <c r="J236"/>
      <c r="K236"/>
      <c r="L236"/>
      <c r="M236"/>
      <c r="N236"/>
      <c r="O236"/>
      <c r="P236"/>
      <c r="Q236"/>
      <c r="R236"/>
    </row>
    <row r="237" spans="1:18" ht="15" x14ac:dyDescent="0.25">
      <c r="A237"/>
      <c r="B237"/>
      <c r="C237"/>
      <c r="D237"/>
      <c r="E237"/>
      <c r="F237"/>
      <c r="G237"/>
      <c r="H237"/>
      <c r="I237"/>
      <c r="J237"/>
      <c r="K237"/>
      <c r="L237"/>
      <c r="M237"/>
      <c r="N237"/>
      <c r="O237"/>
      <c r="P237"/>
      <c r="Q237"/>
      <c r="R237"/>
    </row>
    <row r="238" spans="1:18" ht="15" x14ac:dyDescent="0.25">
      <c r="A238"/>
      <c r="B238"/>
      <c r="C238"/>
      <c r="D238"/>
      <c r="E238"/>
      <c r="F238"/>
      <c r="G238"/>
      <c r="H238"/>
      <c r="I238"/>
      <c r="J238"/>
      <c r="K238"/>
      <c r="L238"/>
      <c r="M238"/>
      <c r="N238"/>
      <c r="O238"/>
      <c r="P238"/>
      <c r="Q238"/>
      <c r="R238"/>
    </row>
    <row r="239" spans="1:18" ht="15" x14ac:dyDescent="0.25">
      <c r="A239"/>
      <c r="B239"/>
      <c r="C239"/>
      <c r="D239"/>
      <c r="E239"/>
      <c r="F239"/>
      <c r="G239"/>
      <c r="H239"/>
      <c r="I239"/>
      <c r="J239"/>
      <c r="K239"/>
      <c r="L239"/>
      <c r="M239"/>
      <c r="N239"/>
      <c r="O239"/>
      <c r="P239"/>
      <c r="Q239"/>
      <c r="R239"/>
    </row>
    <row r="240" spans="1:18" ht="15" x14ac:dyDescent="0.25">
      <c r="A240"/>
      <c r="B240"/>
      <c r="C240"/>
      <c r="D240"/>
      <c r="E240"/>
      <c r="F240"/>
      <c r="G240"/>
      <c r="H240"/>
      <c r="I240"/>
      <c r="J240"/>
      <c r="K240"/>
      <c r="L240"/>
      <c r="M240"/>
      <c r="N240"/>
      <c r="O240"/>
      <c r="P240"/>
      <c r="Q240"/>
      <c r="R240"/>
    </row>
    <row r="241" spans="1:18" ht="15" x14ac:dyDescent="0.25">
      <c r="A241"/>
      <c r="B241"/>
      <c r="C241"/>
      <c r="D241"/>
      <c r="E241"/>
      <c r="F241"/>
      <c r="G241"/>
      <c r="H241"/>
      <c r="I241"/>
      <c r="J241"/>
      <c r="K241"/>
      <c r="L241"/>
      <c r="M241"/>
      <c r="N241"/>
      <c r="O241"/>
      <c r="P241"/>
      <c r="Q241"/>
      <c r="R241"/>
    </row>
    <row r="242" spans="1:18" ht="15" x14ac:dyDescent="0.25">
      <c r="A242"/>
      <c r="B242"/>
      <c r="C242"/>
      <c r="D242"/>
      <c r="E242"/>
      <c r="F242"/>
      <c r="G242"/>
      <c r="H242"/>
      <c r="I242"/>
      <c r="J242"/>
      <c r="K242"/>
      <c r="L242"/>
      <c r="M242"/>
      <c r="N242"/>
      <c r="O242"/>
      <c r="P242"/>
      <c r="Q242"/>
      <c r="R242"/>
    </row>
    <row r="243" spans="1:18" ht="15" x14ac:dyDescent="0.25">
      <c r="A243"/>
      <c r="B243"/>
      <c r="C243"/>
      <c r="D243"/>
      <c r="E243"/>
      <c r="F243"/>
      <c r="G243"/>
      <c r="H243"/>
      <c r="I243"/>
      <c r="J243"/>
      <c r="K243"/>
      <c r="L243"/>
      <c r="M243"/>
      <c r="N243"/>
      <c r="O243"/>
      <c r="P243"/>
      <c r="Q243"/>
      <c r="R243"/>
    </row>
    <row r="244" spans="1:18" ht="15" x14ac:dyDescent="0.25">
      <c r="A244"/>
      <c r="B244"/>
      <c r="C244"/>
      <c r="D244"/>
      <c r="E244"/>
      <c r="F244"/>
      <c r="G244"/>
      <c r="H244"/>
      <c r="I244"/>
      <c r="J244"/>
      <c r="K244"/>
      <c r="L244"/>
      <c r="M244"/>
      <c r="N244"/>
      <c r="O244"/>
      <c r="P244"/>
      <c r="Q244"/>
      <c r="R244"/>
    </row>
    <row r="245" spans="1:18" ht="15" x14ac:dyDescent="0.25">
      <c r="A245"/>
      <c r="B245"/>
      <c r="C245"/>
      <c r="D245"/>
      <c r="E245"/>
      <c r="F245"/>
      <c r="G245"/>
      <c r="H245"/>
      <c r="I245"/>
      <c r="J245"/>
      <c r="K245"/>
      <c r="L245"/>
      <c r="M245"/>
      <c r="N245"/>
      <c r="O245"/>
      <c r="P245"/>
      <c r="Q245"/>
      <c r="R245"/>
    </row>
    <row r="246" spans="1:18" ht="15" x14ac:dyDescent="0.25">
      <c r="A246"/>
      <c r="B246"/>
      <c r="C246"/>
      <c r="D246"/>
      <c r="E246"/>
      <c r="F246"/>
      <c r="G246"/>
      <c r="H246"/>
      <c r="I246"/>
      <c r="J246"/>
      <c r="K246"/>
      <c r="L246"/>
      <c r="M246"/>
      <c r="N246"/>
      <c r="O246"/>
      <c r="P246"/>
      <c r="Q246"/>
      <c r="R246"/>
    </row>
    <row r="247" spans="1:18" ht="15" x14ac:dyDescent="0.25">
      <c r="A247"/>
      <c r="B247"/>
      <c r="C247"/>
      <c r="D247"/>
      <c r="E247"/>
      <c r="F247"/>
      <c r="G247"/>
      <c r="H247"/>
      <c r="I247"/>
      <c r="J247"/>
      <c r="K247"/>
      <c r="L247"/>
      <c r="M247"/>
      <c r="N247"/>
      <c r="O247"/>
      <c r="P247"/>
      <c r="Q247"/>
      <c r="R247"/>
    </row>
    <row r="248" spans="1:18" ht="15" x14ac:dyDescent="0.25">
      <c r="A248"/>
      <c r="B248"/>
      <c r="C248"/>
      <c r="D248"/>
      <c r="E248"/>
      <c r="F248"/>
      <c r="G248"/>
      <c r="H248"/>
      <c r="I248"/>
      <c r="J248"/>
      <c r="K248"/>
      <c r="L248"/>
      <c r="M248"/>
      <c r="N248"/>
      <c r="O248"/>
      <c r="P248"/>
      <c r="Q248"/>
      <c r="R248"/>
    </row>
    <row r="249" spans="1:18" ht="15" x14ac:dyDescent="0.25">
      <c r="A249"/>
      <c r="B249"/>
      <c r="C249"/>
      <c r="D249"/>
      <c r="E249"/>
      <c r="F249"/>
      <c r="G249"/>
      <c r="H249"/>
      <c r="I249"/>
      <c r="J249"/>
      <c r="K249"/>
      <c r="L249"/>
      <c r="M249"/>
      <c r="N249"/>
      <c r="O249"/>
      <c r="P249"/>
      <c r="Q249"/>
      <c r="R249"/>
    </row>
    <row r="250" spans="1:18" ht="15" x14ac:dyDescent="0.25">
      <c r="A250"/>
      <c r="B250"/>
      <c r="C250"/>
      <c r="D250"/>
      <c r="E250"/>
      <c r="F250"/>
      <c r="G250"/>
      <c r="H250"/>
      <c r="I250"/>
      <c r="J250"/>
      <c r="K250"/>
      <c r="L250"/>
      <c r="M250"/>
      <c r="N250"/>
      <c r="O250"/>
      <c r="P250"/>
      <c r="Q250"/>
      <c r="R250"/>
    </row>
    <row r="251" spans="1:18" ht="15" x14ac:dyDescent="0.25">
      <c r="A251"/>
      <c r="B251"/>
      <c r="C251"/>
      <c r="D251"/>
      <c r="E251"/>
      <c r="F251"/>
      <c r="G251"/>
      <c r="H251"/>
      <c r="I251"/>
      <c r="J251"/>
      <c r="K251"/>
      <c r="L251"/>
      <c r="M251"/>
      <c r="N251"/>
      <c r="O251"/>
      <c r="P251"/>
      <c r="Q251"/>
      <c r="R251"/>
    </row>
    <row r="252" spans="1:18" ht="15" x14ac:dyDescent="0.25">
      <c r="A252"/>
      <c r="B252"/>
      <c r="C252"/>
      <c r="D252"/>
      <c r="E252"/>
      <c r="F252"/>
      <c r="G252"/>
      <c r="H252"/>
      <c r="I252"/>
      <c r="J252"/>
      <c r="K252"/>
      <c r="L252"/>
      <c r="M252"/>
      <c r="N252"/>
      <c r="O252"/>
      <c r="P252"/>
      <c r="Q252"/>
      <c r="R252"/>
    </row>
    <row r="253" spans="1:18" ht="15" x14ac:dyDescent="0.25">
      <c r="A253"/>
      <c r="B253"/>
      <c r="C253"/>
      <c r="D253"/>
      <c r="E253"/>
      <c r="F253"/>
      <c r="G253"/>
      <c r="H253"/>
      <c r="I253"/>
      <c r="J253"/>
      <c r="K253"/>
      <c r="L253"/>
      <c r="M253"/>
      <c r="N253"/>
      <c r="O253"/>
      <c r="P253"/>
      <c r="Q253"/>
      <c r="R253"/>
    </row>
    <row r="254" spans="1:18" ht="15" x14ac:dyDescent="0.25">
      <c r="A254"/>
      <c r="B254"/>
      <c r="C254"/>
      <c r="D254"/>
      <c r="E254"/>
      <c r="F254"/>
      <c r="G254"/>
      <c r="H254"/>
      <c r="I254"/>
      <c r="J254"/>
      <c r="K254"/>
      <c r="L254"/>
      <c r="M254"/>
      <c r="N254"/>
      <c r="O254"/>
      <c r="P254"/>
      <c r="Q254"/>
      <c r="R254"/>
    </row>
    <row r="255" spans="1:18" ht="15" x14ac:dyDescent="0.25">
      <c r="A255"/>
      <c r="B255"/>
      <c r="C255"/>
      <c r="D255"/>
      <c r="E255"/>
      <c r="F255"/>
      <c r="G255"/>
      <c r="H255"/>
      <c r="I255"/>
      <c r="J255"/>
      <c r="K255"/>
      <c r="L255"/>
      <c r="M255"/>
      <c r="N255"/>
      <c r="O255"/>
      <c r="P255"/>
      <c r="Q255"/>
      <c r="R255"/>
    </row>
    <row r="256" spans="1:18" ht="15" x14ac:dyDescent="0.25">
      <c r="A256"/>
      <c r="B256"/>
      <c r="C256"/>
      <c r="D256"/>
      <c r="E256"/>
      <c r="F256"/>
      <c r="G256"/>
      <c r="H256"/>
      <c r="I256"/>
      <c r="J256"/>
      <c r="K256"/>
      <c r="L256"/>
      <c r="M256"/>
      <c r="N256"/>
      <c r="O256"/>
      <c r="P256"/>
      <c r="Q256"/>
      <c r="R256"/>
    </row>
    <row r="257" spans="1:18" ht="15" x14ac:dyDescent="0.25">
      <c r="A257"/>
      <c r="B257"/>
      <c r="C257"/>
      <c r="D257"/>
      <c r="E257"/>
      <c r="F257"/>
      <c r="G257"/>
      <c r="H257"/>
      <c r="I257"/>
      <c r="J257"/>
      <c r="K257"/>
      <c r="L257"/>
      <c r="M257"/>
      <c r="N257"/>
      <c r="O257"/>
      <c r="P257"/>
      <c r="Q257"/>
      <c r="R257"/>
    </row>
    <row r="258" spans="1:18" ht="15" x14ac:dyDescent="0.25">
      <c r="A258"/>
      <c r="B258"/>
      <c r="C258"/>
      <c r="D258"/>
      <c r="E258"/>
      <c r="F258"/>
      <c r="G258"/>
      <c r="H258"/>
      <c r="I258"/>
      <c r="J258"/>
      <c r="K258"/>
      <c r="L258"/>
      <c r="M258"/>
      <c r="N258"/>
      <c r="O258"/>
      <c r="P258"/>
      <c r="Q258"/>
      <c r="R258"/>
    </row>
    <row r="259" spans="1:18" ht="15" x14ac:dyDescent="0.25">
      <c r="A259"/>
      <c r="B259"/>
      <c r="C259"/>
      <c r="D259"/>
      <c r="E259"/>
      <c r="F259"/>
      <c r="G259"/>
      <c r="H259"/>
      <c r="I259"/>
      <c r="J259"/>
      <c r="K259"/>
      <c r="L259"/>
      <c r="M259"/>
      <c r="N259"/>
      <c r="O259"/>
      <c r="P259"/>
      <c r="Q259"/>
      <c r="R259"/>
    </row>
    <row r="260" spans="1:18" ht="15" x14ac:dyDescent="0.25">
      <c r="A260"/>
      <c r="B260"/>
      <c r="C260"/>
      <c r="D260"/>
      <c r="E260"/>
      <c r="F260"/>
      <c r="G260"/>
      <c r="H260"/>
      <c r="I260"/>
      <c r="J260"/>
      <c r="K260"/>
      <c r="L260"/>
      <c r="M260"/>
      <c r="N260"/>
      <c r="O260"/>
      <c r="P260"/>
      <c r="Q260"/>
      <c r="R260"/>
    </row>
    <row r="261" spans="1:18" ht="15" x14ac:dyDescent="0.25">
      <c r="A261"/>
      <c r="B261"/>
      <c r="C261"/>
      <c r="D261"/>
      <c r="E261"/>
      <c r="F261"/>
      <c r="G261"/>
      <c r="H261"/>
      <c r="I261"/>
      <c r="J261"/>
      <c r="K261"/>
      <c r="L261"/>
      <c r="M261"/>
      <c r="N261"/>
      <c r="O261"/>
      <c r="P261"/>
      <c r="Q261"/>
      <c r="R261"/>
    </row>
    <row r="262" spans="1:18" ht="15" x14ac:dyDescent="0.25">
      <c r="A262"/>
      <c r="B262"/>
      <c r="C262"/>
      <c r="D262"/>
      <c r="E262"/>
      <c r="F262"/>
      <c r="G262"/>
      <c r="H262"/>
      <c r="I262"/>
      <c r="J262"/>
      <c r="K262"/>
      <c r="L262"/>
      <c r="M262"/>
      <c r="N262"/>
      <c r="O262"/>
      <c r="P262"/>
      <c r="Q262"/>
      <c r="R262"/>
    </row>
    <row r="263" spans="1:18" ht="15" x14ac:dyDescent="0.25">
      <c r="A263"/>
      <c r="B263"/>
      <c r="C263"/>
      <c r="D263"/>
      <c r="E263"/>
      <c r="F263"/>
      <c r="G263"/>
      <c r="H263"/>
      <c r="I263"/>
      <c r="J263"/>
      <c r="K263"/>
      <c r="L263"/>
      <c r="M263"/>
      <c r="N263"/>
      <c r="O263"/>
      <c r="P263"/>
      <c r="Q263"/>
      <c r="R263"/>
    </row>
    <row r="264" spans="1:18" ht="15" x14ac:dyDescent="0.25">
      <c r="A264"/>
      <c r="B264"/>
      <c r="C264"/>
      <c r="D264"/>
      <c r="E264"/>
      <c r="F264"/>
      <c r="G264"/>
      <c r="H264"/>
      <c r="I264"/>
      <c r="J264"/>
      <c r="K264"/>
      <c r="L264"/>
      <c r="M264"/>
      <c r="N264"/>
      <c r="O264"/>
      <c r="P264"/>
      <c r="Q264"/>
      <c r="R264"/>
    </row>
    <row r="265" spans="1:18" ht="15" x14ac:dyDescent="0.25">
      <c r="A265"/>
      <c r="B265"/>
      <c r="C265"/>
      <c r="D265"/>
      <c r="E265"/>
      <c r="F265"/>
      <c r="G265"/>
      <c r="H265"/>
      <c r="I265"/>
      <c r="J265"/>
      <c r="K265"/>
      <c r="L265"/>
      <c r="M265"/>
      <c r="N265"/>
      <c r="O265"/>
      <c r="P265"/>
      <c r="Q265"/>
      <c r="R265"/>
    </row>
    <row r="266" spans="1:18" ht="15" x14ac:dyDescent="0.25">
      <c r="A266"/>
      <c r="B266"/>
      <c r="C266"/>
      <c r="D266"/>
      <c r="E266"/>
      <c r="F266"/>
      <c r="G266"/>
      <c r="H266"/>
      <c r="I266"/>
      <c r="J266"/>
      <c r="K266"/>
      <c r="L266"/>
      <c r="M266"/>
      <c r="N266"/>
      <c r="O266"/>
      <c r="P266"/>
      <c r="Q266"/>
      <c r="R266"/>
    </row>
    <row r="267" spans="1:18" ht="15" x14ac:dyDescent="0.25">
      <c r="A267"/>
      <c r="B267"/>
      <c r="C267"/>
      <c r="D267"/>
      <c r="E267"/>
      <c r="F267"/>
      <c r="G267"/>
      <c r="H267"/>
      <c r="I267"/>
      <c r="J267"/>
      <c r="K267"/>
      <c r="L267"/>
      <c r="M267"/>
      <c r="N267"/>
      <c r="O267"/>
      <c r="P267"/>
      <c r="Q267"/>
      <c r="R267"/>
    </row>
    <row r="268" spans="1:18" ht="15" x14ac:dyDescent="0.25">
      <c r="A268"/>
      <c r="B268"/>
      <c r="C268"/>
      <c r="D268"/>
      <c r="E268"/>
      <c r="F268"/>
      <c r="G268"/>
      <c r="H268"/>
      <c r="I268"/>
      <c r="J268"/>
      <c r="K268"/>
      <c r="L268"/>
      <c r="M268"/>
      <c r="N268"/>
      <c r="O268"/>
      <c r="P268"/>
      <c r="Q268"/>
      <c r="R268"/>
    </row>
    <row r="269" spans="1:18" ht="15" x14ac:dyDescent="0.25">
      <c r="A269"/>
      <c r="B269"/>
      <c r="C269"/>
      <c r="D269"/>
      <c r="E269"/>
      <c r="F269"/>
      <c r="G269"/>
      <c r="H269"/>
      <c r="I269"/>
      <c r="J269"/>
      <c r="K269"/>
      <c r="L269"/>
      <c r="M269"/>
      <c r="N269"/>
      <c r="O269"/>
      <c r="P269"/>
      <c r="Q269"/>
      <c r="R269"/>
    </row>
    <row r="270" spans="1:18" ht="15" x14ac:dyDescent="0.25">
      <c r="A270"/>
      <c r="B270"/>
      <c r="C270"/>
      <c r="D270"/>
      <c r="E270"/>
      <c r="F270"/>
      <c r="G270"/>
      <c r="H270"/>
      <c r="I270"/>
      <c r="J270"/>
      <c r="K270"/>
      <c r="L270"/>
      <c r="M270"/>
      <c r="N270"/>
      <c r="O270"/>
      <c r="P270"/>
      <c r="Q270"/>
      <c r="R270"/>
    </row>
    <row r="271" spans="1:18" ht="15" x14ac:dyDescent="0.25">
      <c r="A271"/>
      <c r="B271"/>
      <c r="C271"/>
      <c r="D271"/>
      <c r="E271"/>
      <c r="F271"/>
      <c r="G271"/>
      <c r="H271"/>
      <c r="I271"/>
      <c r="J271"/>
      <c r="K271"/>
      <c r="L271"/>
      <c r="M271"/>
      <c r="N271"/>
      <c r="O271"/>
      <c r="P271"/>
      <c r="Q271"/>
      <c r="R271"/>
    </row>
    <row r="272" spans="1:18" ht="15" x14ac:dyDescent="0.25">
      <c r="A272"/>
      <c r="B272"/>
      <c r="C272"/>
      <c r="D272"/>
      <c r="E272"/>
      <c r="F272"/>
      <c r="G272"/>
      <c r="H272"/>
      <c r="I272"/>
      <c r="J272"/>
      <c r="K272"/>
      <c r="L272"/>
      <c r="M272"/>
      <c r="N272"/>
      <c r="O272"/>
      <c r="P272"/>
      <c r="Q272"/>
      <c r="R272"/>
    </row>
    <row r="273" spans="1:18" ht="15" x14ac:dyDescent="0.25">
      <c r="A273"/>
      <c r="B273"/>
      <c r="C273"/>
      <c r="D273"/>
      <c r="E273"/>
      <c r="F273"/>
      <c r="G273"/>
      <c r="H273"/>
      <c r="I273"/>
      <c r="J273"/>
      <c r="K273"/>
      <c r="L273"/>
      <c r="M273"/>
      <c r="N273"/>
      <c r="O273"/>
      <c r="P273"/>
      <c r="Q273"/>
      <c r="R273"/>
    </row>
    <row r="274" spans="1:18" ht="15" x14ac:dyDescent="0.25">
      <c r="A274"/>
      <c r="B274"/>
      <c r="C274"/>
      <c r="D274"/>
      <c r="E274"/>
      <c r="F274"/>
      <c r="G274"/>
      <c r="H274"/>
      <c r="I274"/>
      <c r="J274"/>
      <c r="K274"/>
      <c r="L274"/>
      <c r="M274"/>
      <c r="N274"/>
      <c r="O274"/>
      <c r="P274"/>
      <c r="Q274"/>
      <c r="R274"/>
    </row>
    <row r="275" spans="1:18" ht="15" x14ac:dyDescent="0.25">
      <c r="A275"/>
      <c r="B275"/>
      <c r="C275"/>
      <c r="D275"/>
      <c r="E275"/>
      <c r="F275"/>
      <c r="G275"/>
      <c r="H275"/>
      <c r="I275"/>
      <c r="J275"/>
      <c r="K275"/>
      <c r="L275"/>
      <c r="M275"/>
      <c r="N275"/>
      <c r="O275"/>
      <c r="P275"/>
      <c r="Q275"/>
      <c r="R275"/>
    </row>
    <row r="276" spans="1:18" ht="15" x14ac:dyDescent="0.25">
      <c r="A276"/>
      <c r="B276"/>
      <c r="C276"/>
      <c r="D276"/>
      <c r="E276"/>
      <c r="F276"/>
      <c r="G276"/>
      <c r="H276"/>
      <c r="I276"/>
      <c r="J276"/>
      <c r="K276"/>
      <c r="L276"/>
      <c r="M276"/>
      <c r="N276"/>
      <c r="O276"/>
      <c r="P276"/>
      <c r="Q276"/>
      <c r="R276"/>
    </row>
    <row r="277" spans="1:18" ht="15" x14ac:dyDescent="0.25">
      <c r="A277"/>
      <c r="B277"/>
      <c r="C277"/>
      <c r="D277"/>
      <c r="E277"/>
      <c r="F277"/>
      <c r="G277"/>
      <c r="H277"/>
      <c r="I277"/>
      <c r="J277"/>
      <c r="K277"/>
      <c r="L277"/>
      <c r="M277"/>
      <c r="N277"/>
      <c r="O277"/>
      <c r="P277"/>
      <c r="Q277"/>
      <c r="R277"/>
    </row>
    <row r="278" spans="1:18" ht="15" x14ac:dyDescent="0.25">
      <c r="A278"/>
      <c r="B278"/>
      <c r="C278"/>
      <c r="D278"/>
      <c r="E278"/>
      <c r="F278"/>
      <c r="G278"/>
      <c r="H278"/>
      <c r="I278"/>
      <c r="J278"/>
      <c r="K278"/>
      <c r="L278"/>
      <c r="M278"/>
      <c r="N278"/>
      <c r="O278"/>
      <c r="P278"/>
      <c r="Q278"/>
      <c r="R278"/>
    </row>
    <row r="279" spans="1:18" ht="15" x14ac:dyDescent="0.25">
      <c r="A279"/>
      <c r="B279"/>
      <c r="C279"/>
      <c r="D279"/>
      <c r="E279"/>
      <c r="F279"/>
      <c r="G279"/>
      <c r="H279"/>
      <c r="I279"/>
      <c r="J279"/>
      <c r="K279"/>
      <c r="L279"/>
      <c r="M279"/>
      <c r="N279"/>
      <c r="O279"/>
      <c r="P279"/>
      <c r="Q279"/>
      <c r="R279"/>
    </row>
    <row r="280" spans="1:18" ht="15" x14ac:dyDescent="0.25">
      <c r="A280"/>
      <c r="B280"/>
      <c r="C280"/>
      <c r="D280"/>
      <c r="E280"/>
      <c r="F280"/>
      <c r="G280"/>
      <c r="H280"/>
      <c r="I280"/>
      <c r="J280"/>
      <c r="K280"/>
      <c r="L280"/>
      <c r="M280"/>
      <c r="N280"/>
      <c r="O280"/>
      <c r="P280"/>
      <c r="Q280"/>
      <c r="R280"/>
    </row>
    <row r="281" spans="1:18" ht="15" x14ac:dyDescent="0.25">
      <c r="A281"/>
      <c r="B281"/>
      <c r="C281"/>
      <c r="D281"/>
      <c r="E281"/>
      <c r="F281"/>
      <c r="G281"/>
      <c r="H281"/>
      <c r="I281"/>
      <c r="J281"/>
      <c r="K281"/>
      <c r="L281"/>
      <c r="M281"/>
      <c r="N281"/>
      <c r="O281"/>
      <c r="P281"/>
      <c r="Q281"/>
      <c r="R281"/>
    </row>
    <row r="282" spans="1:18" ht="15" x14ac:dyDescent="0.25">
      <c r="A282"/>
      <c r="B282"/>
      <c r="C282"/>
      <c r="D282"/>
      <c r="E282"/>
      <c r="F282"/>
      <c r="G282"/>
      <c r="H282"/>
      <c r="I282"/>
      <c r="J282"/>
      <c r="K282"/>
      <c r="L282"/>
      <c r="M282"/>
      <c r="N282"/>
      <c r="O282"/>
      <c r="P282"/>
      <c r="Q282"/>
      <c r="R282"/>
    </row>
    <row r="283" spans="1:18" ht="15" x14ac:dyDescent="0.25">
      <c r="A283"/>
      <c r="B283"/>
      <c r="C283"/>
      <c r="D283"/>
      <c r="E283"/>
      <c r="F283"/>
      <c r="G283"/>
      <c r="H283"/>
      <c r="I283"/>
      <c r="J283"/>
      <c r="K283"/>
      <c r="L283"/>
      <c r="M283"/>
      <c r="N283"/>
      <c r="O283"/>
      <c r="P283"/>
      <c r="Q283"/>
      <c r="R283"/>
    </row>
    <row r="284" spans="1:18" ht="15" x14ac:dyDescent="0.25">
      <c r="A284"/>
      <c r="B284"/>
      <c r="C284"/>
      <c r="D284"/>
      <c r="E284"/>
      <c r="F284"/>
      <c r="G284"/>
      <c r="H284"/>
      <c r="I284"/>
      <c r="J284"/>
      <c r="K284"/>
      <c r="L284"/>
      <c r="M284"/>
      <c r="N284"/>
      <c r="O284"/>
      <c r="P284"/>
      <c r="Q284"/>
      <c r="R284"/>
    </row>
    <row r="285" spans="1:18" ht="15" x14ac:dyDescent="0.25">
      <c r="A285"/>
      <c r="B285"/>
      <c r="C285"/>
      <c r="D285"/>
      <c r="E285"/>
      <c r="F285"/>
      <c r="G285"/>
      <c r="H285"/>
      <c r="I285"/>
      <c r="J285"/>
      <c r="K285"/>
      <c r="L285"/>
      <c r="M285"/>
      <c r="N285"/>
      <c r="O285"/>
      <c r="P285"/>
      <c r="Q285"/>
      <c r="R285"/>
    </row>
    <row r="286" spans="1:18" ht="15" x14ac:dyDescent="0.25">
      <c r="A286"/>
      <c r="B286"/>
      <c r="C286"/>
      <c r="D286"/>
      <c r="E286"/>
      <c r="F286"/>
      <c r="G286"/>
      <c r="H286"/>
      <c r="I286"/>
      <c r="J286"/>
      <c r="K286"/>
      <c r="L286"/>
      <c r="M286"/>
      <c r="N286"/>
      <c r="O286"/>
      <c r="P286"/>
      <c r="Q286"/>
      <c r="R286"/>
    </row>
    <row r="287" spans="1:18" ht="15" x14ac:dyDescent="0.25">
      <c r="A287"/>
      <c r="B287"/>
      <c r="C287"/>
      <c r="D287"/>
      <c r="E287"/>
      <c r="F287"/>
      <c r="G287"/>
      <c r="H287"/>
      <c r="I287"/>
      <c r="J287"/>
      <c r="K287"/>
      <c r="L287"/>
      <c r="M287"/>
      <c r="N287"/>
      <c r="O287"/>
      <c r="P287"/>
      <c r="Q287"/>
      <c r="R287"/>
    </row>
    <row r="288" spans="1:18" ht="15" x14ac:dyDescent="0.25">
      <c r="A288"/>
      <c r="B288"/>
      <c r="C288"/>
      <c r="D288"/>
      <c r="E288"/>
      <c r="F288"/>
      <c r="G288"/>
      <c r="H288"/>
      <c r="I288"/>
      <c r="J288"/>
      <c r="K288"/>
      <c r="L288"/>
      <c r="M288"/>
      <c r="N288"/>
      <c r="O288"/>
      <c r="P288"/>
      <c r="Q288"/>
      <c r="R288"/>
    </row>
    <row r="289" spans="1:18" ht="15" x14ac:dyDescent="0.25">
      <c r="A289"/>
      <c r="B289"/>
      <c r="C289"/>
      <c r="D289"/>
      <c r="E289"/>
      <c r="F289"/>
      <c r="G289"/>
      <c r="H289"/>
      <c r="I289"/>
      <c r="J289"/>
      <c r="K289"/>
      <c r="L289"/>
      <c r="M289"/>
      <c r="N289"/>
      <c r="O289"/>
      <c r="P289"/>
      <c r="Q289"/>
      <c r="R289"/>
    </row>
    <row r="290" spans="1:18" ht="15" x14ac:dyDescent="0.25">
      <c r="A290"/>
      <c r="B290"/>
      <c r="C290"/>
      <c r="D290"/>
      <c r="E290"/>
      <c r="F290"/>
      <c r="G290"/>
      <c r="H290"/>
      <c r="I290"/>
      <c r="J290"/>
      <c r="K290"/>
      <c r="L290"/>
      <c r="M290"/>
      <c r="N290"/>
      <c r="O290"/>
      <c r="P290"/>
      <c r="Q290"/>
      <c r="R290"/>
    </row>
    <row r="291" spans="1:18" ht="15" x14ac:dyDescent="0.25">
      <c r="A291"/>
      <c r="B291"/>
      <c r="C291"/>
      <c r="D291"/>
      <c r="E291"/>
      <c r="F291"/>
      <c r="G291"/>
      <c r="H291"/>
      <c r="I291"/>
      <c r="J291"/>
      <c r="K291"/>
      <c r="L291"/>
      <c r="M291"/>
      <c r="N291"/>
      <c r="O291"/>
      <c r="P291"/>
      <c r="Q291"/>
      <c r="R291"/>
    </row>
    <row r="292" spans="1:18" ht="15" x14ac:dyDescent="0.25">
      <c r="A292"/>
      <c r="B292"/>
      <c r="C292"/>
      <c r="D292"/>
      <c r="E292"/>
      <c r="F292"/>
      <c r="G292"/>
      <c r="H292"/>
      <c r="I292"/>
      <c r="J292"/>
      <c r="K292"/>
      <c r="L292"/>
      <c r="M292"/>
      <c r="N292"/>
      <c r="O292"/>
      <c r="P292"/>
      <c r="Q292"/>
      <c r="R292"/>
    </row>
    <row r="293" spans="1:18" ht="15" x14ac:dyDescent="0.25">
      <c r="A293"/>
      <c r="B293"/>
      <c r="C293"/>
      <c r="D293"/>
      <c r="E293"/>
      <c r="F293"/>
      <c r="G293"/>
      <c r="H293"/>
      <c r="I293"/>
      <c r="J293"/>
      <c r="K293"/>
      <c r="L293"/>
      <c r="M293"/>
      <c r="N293"/>
      <c r="O293"/>
      <c r="P293"/>
      <c r="Q293"/>
      <c r="R293"/>
    </row>
    <row r="294" spans="1:18" ht="15" x14ac:dyDescent="0.25">
      <c r="A294"/>
      <c r="B294"/>
      <c r="C294"/>
      <c r="D294"/>
      <c r="E294"/>
      <c r="F294"/>
      <c r="G294"/>
      <c r="H294"/>
      <c r="I294"/>
      <c r="J294"/>
      <c r="K294"/>
      <c r="L294"/>
      <c r="M294"/>
      <c r="N294"/>
      <c r="O294"/>
      <c r="P294"/>
      <c r="Q294"/>
      <c r="R294"/>
    </row>
    <row r="295" spans="1:18" ht="15" x14ac:dyDescent="0.25">
      <c r="A295"/>
      <c r="B295"/>
      <c r="C295"/>
      <c r="D295"/>
      <c r="E295"/>
      <c r="F295"/>
      <c r="G295"/>
      <c r="H295"/>
      <c r="I295"/>
      <c r="J295"/>
      <c r="K295"/>
      <c r="L295"/>
      <c r="M295"/>
      <c r="N295"/>
      <c r="O295"/>
      <c r="P295"/>
      <c r="Q295"/>
      <c r="R295"/>
    </row>
    <row r="296" spans="1:18" ht="15" x14ac:dyDescent="0.25">
      <c r="A296"/>
      <c r="B296"/>
      <c r="C296"/>
      <c r="D296"/>
      <c r="E296"/>
      <c r="F296"/>
      <c r="G296"/>
      <c r="H296"/>
      <c r="I296"/>
      <c r="J296"/>
      <c r="K296"/>
      <c r="L296"/>
      <c r="M296"/>
      <c r="N296"/>
      <c r="O296"/>
      <c r="P296"/>
      <c r="Q296"/>
      <c r="R296"/>
    </row>
    <row r="297" spans="1:18" ht="15" x14ac:dyDescent="0.25">
      <c r="A297"/>
      <c r="B297"/>
      <c r="C297"/>
      <c r="D297"/>
      <c r="E297"/>
      <c r="F297"/>
      <c r="G297"/>
      <c r="H297"/>
      <c r="I297"/>
      <c r="J297"/>
      <c r="K297"/>
      <c r="L297"/>
      <c r="M297"/>
      <c r="N297"/>
      <c r="O297"/>
      <c r="P297"/>
      <c r="Q297"/>
      <c r="R297"/>
    </row>
    <row r="298" spans="1:18" ht="15" x14ac:dyDescent="0.25">
      <c r="A298"/>
      <c r="B298"/>
      <c r="C298"/>
      <c r="D298"/>
      <c r="E298"/>
      <c r="F298"/>
      <c r="G298"/>
      <c r="H298"/>
      <c r="I298"/>
      <c r="J298"/>
      <c r="K298"/>
      <c r="L298"/>
      <c r="M298"/>
      <c r="N298"/>
      <c r="O298"/>
      <c r="P298"/>
      <c r="Q298"/>
      <c r="R298"/>
    </row>
    <row r="299" spans="1:18" ht="15" x14ac:dyDescent="0.25">
      <c r="A299"/>
      <c r="B299"/>
      <c r="C299"/>
      <c r="D299"/>
      <c r="E299"/>
      <c r="F299"/>
      <c r="G299"/>
      <c r="H299"/>
      <c r="I299"/>
      <c r="J299"/>
      <c r="K299"/>
      <c r="L299"/>
      <c r="M299"/>
      <c r="N299"/>
      <c r="O299"/>
      <c r="P299"/>
      <c r="Q299"/>
      <c r="R299"/>
    </row>
    <row r="300" spans="1:18" ht="15" x14ac:dyDescent="0.25">
      <c r="A300"/>
      <c r="B300"/>
      <c r="C300"/>
      <c r="D300"/>
      <c r="E300"/>
      <c r="F300"/>
      <c r="G300"/>
      <c r="H300"/>
      <c r="I300"/>
      <c r="J300"/>
      <c r="K300"/>
      <c r="L300"/>
      <c r="M300"/>
      <c r="N300"/>
      <c r="O300"/>
      <c r="P300"/>
      <c r="Q300"/>
      <c r="R300"/>
    </row>
    <row r="301" spans="1:18" ht="15" x14ac:dyDescent="0.25">
      <c r="A301"/>
      <c r="B301"/>
      <c r="C301"/>
      <c r="D301"/>
      <c r="E301"/>
      <c r="F301"/>
      <c r="G301"/>
      <c r="H301"/>
      <c r="I301"/>
      <c r="J301"/>
      <c r="K301"/>
      <c r="L301"/>
      <c r="M301"/>
      <c r="N301"/>
      <c r="O301"/>
      <c r="P301"/>
      <c r="Q301"/>
      <c r="R301"/>
    </row>
    <row r="302" spans="1:18" ht="15" x14ac:dyDescent="0.25">
      <c r="A302"/>
      <c r="B302"/>
      <c r="C302"/>
      <c r="D302"/>
      <c r="E302"/>
      <c r="F302"/>
      <c r="G302"/>
      <c r="H302"/>
      <c r="I302"/>
      <c r="J302"/>
      <c r="K302"/>
      <c r="L302"/>
      <c r="M302"/>
      <c r="N302"/>
      <c r="O302"/>
      <c r="P302"/>
      <c r="Q302"/>
      <c r="R302"/>
    </row>
    <row r="303" spans="1:18" ht="15" x14ac:dyDescent="0.25">
      <c r="A303"/>
      <c r="B303"/>
      <c r="C303"/>
      <c r="D303"/>
      <c r="E303"/>
      <c r="F303"/>
      <c r="G303"/>
      <c r="H303"/>
      <c r="I303"/>
      <c r="J303"/>
      <c r="K303"/>
      <c r="L303"/>
      <c r="M303"/>
      <c r="N303"/>
      <c r="O303"/>
      <c r="P303"/>
      <c r="Q303"/>
      <c r="R303"/>
    </row>
    <row r="304" spans="1:18" ht="15" x14ac:dyDescent="0.25">
      <c r="A304"/>
      <c r="B304"/>
      <c r="C304"/>
      <c r="D304"/>
      <c r="E304"/>
      <c r="F304"/>
      <c r="G304"/>
      <c r="H304"/>
      <c r="I304"/>
      <c r="J304"/>
      <c r="K304"/>
      <c r="L304"/>
      <c r="M304"/>
      <c r="N304"/>
      <c r="O304"/>
      <c r="P304"/>
      <c r="Q304"/>
      <c r="R304"/>
    </row>
    <row r="305" spans="1:18" ht="15" x14ac:dyDescent="0.25">
      <c r="A305"/>
      <c r="B305"/>
      <c r="C305"/>
      <c r="D305"/>
      <c r="E305"/>
      <c r="F305"/>
      <c r="G305"/>
      <c r="H305"/>
      <c r="I305"/>
      <c r="J305"/>
      <c r="K305"/>
      <c r="L305"/>
      <c r="M305"/>
      <c r="N305"/>
      <c r="O305"/>
      <c r="P305"/>
      <c r="Q305"/>
      <c r="R305"/>
    </row>
    <row r="306" spans="1:18" ht="15" x14ac:dyDescent="0.25">
      <c r="A306"/>
      <c r="B306"/>
      <c r="C306"/>
      <c r="D306"/>
      <c r="E306"/>
      <c r="F306"/>
      <c r="G306"/>
      <c r="H306"/>
      <c r="I306"/>
      <c r="J306"/>
      <c r="K306"/>
      <c r="L306"/>
      <c r="M306"/>
      <c r="N306"/>
      <c r="O306"/>
      <c r="P306"/>
      <c r="Q306"/>
      <c r="R306"/>
    </row>
    <row r="307" spans="1:18" ht="15" x14ac:dyDescent="0.25">
      <c r="A307"/>
      <c r="B307"/>
      <c r="C307"/>
      <c r="D307"/>
      <c r="E307"/>
      <c r="F307"/>
      <c r="G307"/>
      <c r="H307"/>
      <c r="I307"/>
      <c r="J307"/>
      <c r="K307"/>
      <c r="L307"/>
      <c r="M307"/>
      <c r="N307"/>
      <c r="O307"/>
      <c r="P307"/>
      <c r="Q307"/>
      <c r="R307"/>
    </row>
    <row r="308" spans="1:18" ht="15" x14ac:dyDescent="0.25">
      <c r="A308"/>
      <c r="B308"/>
      <c r="C308"/>
      <c r="D308"/>
      <c r="E308"/>
      <c r="F308"/>
      <c r="G308"/>
      <c r="H308"/>
      <c r="I308"/>
      <c r="J308"/>
      <c r="K308"/>
      <c r="L308"/>
      <c r="M308"/>
      <c r="N308"/>
      <c r="O308"/>
      <c r="P308"/>
      <c r="Q308"/>
      <c r="R308"/>
    </row>
    <row r="309" spans="1:18" ht="15" x14ac:dyDescent="0.25">
      <c r="A309"/>
      <c r="B309"/>
      <c r="C309"/>
      <c r="D309"/>
      <c r="E309"/>
      <c r="F309"/>
      <c r="G309"/>
      <c r="H309"/>
      <c r="I309"/>
      <c r="J309"/>
      <c r="K309"/>
      <c r="L309"/>
      <c r="M309"/>
      <c r="N309"/>
      <c r="O309"/>
      <c r="P309"/>
      <c r="Q309"/>
      <c r="R309"/>
    </row>
    <row r="310" spans="1:18" ht="15" x14ac:dyDescent="0.25">
      <c r="A310"/>
      <c r="B310"/>
      <c r="C310"/>
      <c r="D310"/>
      <c r="E310"/>
      <c r="F310"/>
      <c r="G310"/>
      <c r="H310"/>
      <c r="I310"/>
      <c r="J310"/>
      <c r="K310"/>
      <c r="L310"/>
      <c r="M310"/>
      <c r="N310"/>
      <c r="O310"/>
      <c r="P310"/>
      <c r="Q310"/>
      <c r="R310"/>
    </row>
    <row r="311" spans="1:18" ht="15" x14ac:dyDescent="0.25">
      <c r="A311"/>
      <c r="B311"/>
      <c r="C311"/>
      <c r="D311"/>
      <c r="E311"/>
      <c r="F311"/>
      <c r="G311"/>
      <c r="H311"/>
      <c r="I311"/>
      <c r="J311"/>
      <c r="K311"/>
      <c r="L311"/>
      <c r="M311"/>
      <c r="N311"/>
      <c r="O311"/>
      <c r="P311"/>
      <c r="Q311"/>
      <c r="R311"/>
    </row>
    <row r="312" spans="1:18" ht="15" x14ac:dyDescent="0.25">
      <c r="A312"/>
      <c r="B312"/>
      <c r="C312"/>
      <c r="D312"/>
      <c r="E312"/>
      <c r="F312"/>
      <c r="G312"/>
      <c r="H312"/>
      <c r="I312"/>
      <c r="J312"/>
      <c r="K312"/>
      <c r="L312"/>
      <c r="M312"/>
      <c r="N312"/>
      <c r="O312"/>
      <c r="P312"/>
      <c r="Q312"/>
      <c r="R312"/>
    </row>
    <row r="313" spans="1:18" ht="15" x14ac:dyDescent="0.25">
      <c r="A313"/>
      <c r="B313"/>
      <c r="C313"/>
      <c r="D313"/>
      <c r="E313"/>
      <c r="F313"/>
      <c r="G313"/>
      <c r="H313"/>
      <c r="I313"/>
      <c r="J313"/>
      <c r="K313"/>
      <c r="L313"/>
      <c r="M313"/>
      <c r="N313"/>
      <c r="O313"/>
      <c r="P313"/>
      <c r="Q313"/>
      <c r="R313"/>
    </row>
    <row r="314" spans="1:18" ht="15" x14ac:dyDescent="0.25">
      <c r="A314"/>
      <c r="B314"/>
      <c r="C314"/>
      <c r="D314"/>
      <c r="E314"/>
      <c r="F314"/>
      <c r="G314"/>
      <c r="H314"/>
      <c r="I314"/>
      <c r="J314"/>
      <c r="K314"/>
      <c r="L314"/>
      <c r="M314"/>
      <c r="N314"/>
      <c r="O314"/>
      <c r="P314"/>
      <c r="Q314"/>
      <c r="R314"/>
    </row>
    <row r="315" spans="1:18" ht="15" x14ac:dyDescent="0.25">
      <c r="A315"/>
      <c r="B315"/>
      <c r="C315"/>
      <c r="D315"/>
      <c r="E315"/>
      <c r="F315"/>
      <c r="G315"/>
      <c r="H315"/>
      <c r="I315"/>
      <c r="J315"/>
      <c r="K315"/>
      <c r="L315"/>
      <c r="M315"/>
      <c r="N315"/>
      <c r="O315"/>
      <c r="P315"/>
      <c r="Q315"/>
      <c r="R315"/>
    </row>
    <row r="316" spans="1:18" ht="15" x14ac:dyDescent="0.25">
      <c r="A316"/>
      <c r="B316"/>
      <c r="C316"/>
      <c r="D316"/>
      <c r="E316"/>
      <c r="F316"/>
      <c r="G316"/>
      <c r="H316"/>
      <c r="I316"/>
      <c r="J316"/>
      <c r="K316"/>
      <c r="L316"/>
      <c r="M316"/>
      <c r="N316"/>
      <c r="O316"/>
      <c r="P316"/>
      <c r="Q316"/>
      <c r="R316"/>
    </row>
    <row r="317" spans="1:18" ht="15" x14ac:dyDescent="0.25">
      <c r="A317"/>
      <c r="B317"/>
      <c r="C317"/>
      <c r="D317"/>
      <c r="E317"/>
      <c r="F317"/>
      <c r="G317"/>
      <c r="H317"/>
      <c r="I317"/>
      <c r="J317"/>
      <c r="K317"/>
      <c r="L317"/>
      <c r="M317"/>
      <c r="N317"/>
      <c r="O317"/>
      <c r="P317"/>
      <c r="Q317"/>
      <c r="R317"/>
    </row>
    <row r="318" spans="1:18" ht="15" x14ac:dyDescent="0.25">
      <c r="A318"/>
      <c r="B318"/>
      <c r="C318"/>
      <c r="D318"/>
      <c r="E318"/>
      <c r="F318"/>
      <c r="G318"/>
      <c r="H318"/>
      <c r="I318"/>
      <c r="J318"/>
      <c r="K318"/>
      <c r="L318"/>
      <c r="M318"/>
      <c r="N318"/>
      <c r="O318"/>
      <c r="P318"/>
      <c r="Q318"/>
      <c r="R318"/>
    </row>
    <row r="319" spans="1:18" ht="15" x14ac:dyDescent="0.25">
      <c r="A319"/>
      <c r="B319"/>
      <c r="C319"/>
      <c r="D319"/>
      <c r="E319"/>
      <c r="F319"/>
      <c r="G319"/>
      <c r="H319"/>
      <c r="I319"/>
      <c r="J319"/>
      <c r="K319"/>
      <c r="L319"/>
      <c r="M319"/>
      <c r="N319"/>
      <c r="O319"/>
      <c r="P319"/>
      <c r="Q319"/>
      <c r="R319"/>
    </row>
    <row r="320" spans="1:18" ht="15" x14ac:dyDescent="0.25">
      <c r="A320"/>
      <c r="B320"/>
      <c r="C320"/>
      <c r="D320"/>
      <c r="E320"/>
      <c r="F320"/>
      <c r="G320"/>
      <c r="H320"/>
      <c r="I320"/>
      <c r="J320"/>
      <c r="K320"/>
      <c r="L320"/>
      <c r="M320"/>
      <c r="N320"/>
      <c r="O320"/>
      <c r="P320"/>
      <c r="Q320"/>
      <c r="R320"/>
    </row>
    <row r="321" spans="1:18" ht="15" x14ac:dyDescent="0.25">
      <c r="A321"/>
      <c r="B321"/>
      <c r="C321"/>
      <c r="D321"/>
      <c r="E321"/>
      <c r="F321"/>
      <c r="G321"/>
      <c r="H321"/>
      <c r="I321"/>
      <c r="J321"/>
      <c r="K321"/>
      <c r="L321"/>
      <c r="M321"/>
      <c r="N321"/>
      <c r="O321"/>
      <c r="P321"/>
      <c r="Q321"/>
      <c r="R321"/>
    </row>
    <row r="322" spans="1:18" ht="15" x14ac:dyDescent="0.25">
      <c r="A322"/>
      <c r="B322"/>
      <c r="C322"/>
      <c r="D322"/>
      <c r="E322"/>
      <c r="F322"/>
      <c r="G322"/>
      <c r="H322"/>
      <c r="I322"/>
      <c r="J322"/>
      <c r="K322"/>
      <c r="L322"/>
      <c r="M322"/>
      <c r="N322"/>
      <c r="O322"/>
      <c r="P322"/>
      <c r="Q322"/>
      <c r="R322"/>
    </row>
    <row r="323" spans="1:18" ht="15" x14ac:dyDescent="0.25">
      <c r="A323"/>
      <c r="B323"/>
      <c r="C323"/>
      <c r="D323"/>
      <c r="E323"/>
      <c r="F323"/>
      <c r="G323"/>
      <c r="H323"/>
      <c r="I323"/>
      <c r="J323"/>
      <c r="K323"/>
      <c r="L323"/>
      <c r="M323"/>
      <c r="N323"/>
      <c r="O323"/>
      <c r="P323"/>
      <c r="Q323"/>
      <c r="R323"/>
    </row>
    <row r="324" spans="1:18" ht="15" x14ac:dyDescent="0.25">
      <c r="A324"/>
      <c r="B324"/>
      <c r="C324"/>
      <c r="D324"/>
      <c r="E324"/>
      <c r="F324"/>
      <c r="G324"/>
      <c r="H324"/>
      <c r="I324"/>
      <c r="J324"/>
      <c r="K324"/>
      <c r="L324"/>
      <c r="M324"/>
      <c r="N324"/>
      <c r="O324"/>
      <c r="P324"/>
      <c r="Q324"/>
      <c r="R324"/>
    </row>
    <row r="325" spans="1:18" ht="15" x14ac:dyDescent="0.25">
      <c r="A325"/>
      <c r="B325"/>
      <c r="C325"/>
      <c r="D325"/>
      <c r="E325"/>
      <c r="F325"/>
      <c r="G325"/>
      <c r="H325"/>
      <c r="I325"/>
      <c r="J325"/>
      <c r="K325"/>
      <c r="L325"/>
      <c r="M325"/>
      <c r="N325"/>
      <c r="O325"/>
      <c r="P325"/>
      <c r="Q325"/>
      <c r="R325"/>
    </row>
    <row r="326" spans="1:18" ht="15" x14ac:dyDescent="0.25">
      <c r="A326"/>
      <c r="B326"/>
      <c r="C326"/>
      <c r="D326"/>
      <c r="E326"/>
      <c r="F326"/>
      <c r="G326"/>
      <c r="H326"/>
      <c r="I326"/>
      <c r="J326"/>
      <c r="K326"/>
      <c r="L326"/>
      <c r="M326"/>
      <c r="N326"/>
      <c r="O326"/>
      <c r="P326"/>
      <c r="Q326"/>
      <c r="R326"/>
    </row>
    <row r="327" spans="1:18" ht="15" x14ac:dyDescent="0.25">
      <c r="A327"/>
      <c r="B327"/>
      <c r="C327"/>
      <c r="D327"/>
      <c r="E327"/>
      <c r="F327"/>
      <c r="G327"/>
      <c r="H327"/>
      <c r="I327"/>
      <c r="J327"/>
      <c r="K327"/>
      <c r="L327"/>
      <c r="M327"/>
      <c r="N327"/>
      <c r="O327"/>
      <c r="P327"/>
      <c r="Q327"/>
      <c r="R327"/>
    </row>
    <row r="328" spans="1:18" ht="15" x14ac:dyDescent="0.25">
      <c r="A328"/>
      <c r="B328"/>
      <c r="C328"/>
      <c r="D328"/>
      <c r="E328"/>
      <c r="F328"/>
      <c r="G328"/>
      <c r="H328"/>
      <c r="I328"/>
      <c r="J328"/>
      <c r="K328"/>
      <c r="L328"/>
      <c r="M328"/>
      <c r="N328"/>
      <c r="O328"/>
      <c r="P328"/>
      <c r="Q328"/>
      <c r="R328"/>
    </row>
    <row r="329" spans="1:18" ht="15" x14ac:dyDescent="0.25">
      <c r="A329"/>
      <c r="B329"/>
      <c r="C329"/>
      <c r="D329"/>
      <c r="E329"/>
      <c r="F329"/>
      <c r="G329"/>
      <c r="H329"/>
      <c r="I329"/>
      <c r="J329"/>
      <c r="K329"/>
      <c r="L329"/>
      <c r="M329"/>
      <c r="N329"/>
      <c r="O329"/>
      <c r="P329"/>
      <c r="Q329"/>
      <c r="R329"/>
    </row>
    <row r="330" spans="1:18" ht="15" x14ac:dyDescent="0.25">
      <c r="A330"/>
      <c r="B330"/>
      <c r="C330"/>
      <c r="D330"/>
      <c r="E330"/>
      <c r="F330"/>
      <c r="G330"/>
      <c r="H330"/>
      <c r="I330"/>
      <c r="J330"/>
      <c r="K330"/>
      <c r="L330"/>
      <c r="M330"/>
      <c r="N330"/>
      <c r="O330"/>
      <c r="P330"/>
      <c r="Q330"/>
      <c r="R330"/>
    </row>
    <row r="331" spans="1:18" ht="15" x14ac:dyDescent="0.25">
      <c r="A331"/>
      <c r="B331"/>
      <c r="C331"/>
      <c r="D331"/>
      <c r="E331"/>
      <c r="F331"/>
      <c r="G331"/>
      <c r="H331"/>
      <c r="I331"/>
      <c r="J331"/>
      <c r="K331"/>
      <c r="L331"/>
      <c r="M331"/>
      <c r="N331"/>
      <c r="O331"/>
      <c r="P331"/>
      <c r="Q331"/>
      <c r="R331"/>
    </row>
    <row r="332" spans="1:18" ht="15" x14ac:dyDescent="0.25">
      <c r="A332"/>
      <c r="B332"/>
      <c r="C332"/>
      <c r="D332"/>
      <c r="E332"/>
      <c r="F332"/>
      <c r="G332"/>
      <c r="H332"/>
      <c r="I332"/>
      <c r="J332"/>
      <c r="K332"/>
      <c r="L332"/>
      <c r="M332"/>
      <c r="N332"/>
      <c r="O332"/>
      <c r="P332"/>
      <c r="Q332"/>
      <c r="R332"/>
    </row>
    <row r="333" spans="1:18" ht="15" x14ac:dyDescent="0.25">
      <c r="A333"/>
      <c r="B333"/>
      <c r="C333"/>
      <c r="D333"/>
      <c r="E333"/>
      <c r="F333"/>
      <c r="G333"/>
      <c r="H333"/>
      <c r="I333"/>
      <c r="J333"/>
      <c r="K333"/>
      <c r="L333"/>
      <c r="M333"/>
      <c r="N333"/>
      <c r="O333"/>
      <c r="P333"/>
      <c r="Q333"/>
      <c r="R333"/>
    </row>
    <row r="334" spans="1:18" ht="15" x14ac:dyDescent="0.25">
      <c r="A334"/>
      <c r="B334"/>
      <c r="C334"/>
      <c r="D334"/>
      <c r="E334"/>
      <c r="F334"/>
      <c r="G334"/>
      <c r="H334"/>
      <c r="I334"/>
      <c r="J334"/>
      <c r="K334"/>
      <c r="L334"/>
      <c r="M334"/>
      <c r="N334"/>
      <c r="O334"/>
      <c r="P334"/>
      <c r="Q334"/>
      <c r="R334"/>
    </row>
    <row r="335" spans="1:18" ht="15" x14ac:dyDescent="0.25">
      <c r="A335"/>
      <c r="B335"/>
      <c r="C335"/>
      <c r="D335"/>
      <c r="E335"/>
      <c r="F335"/>
      <c r="G335"/>
      <c r="H335"/>
      <c r="I335"/>
      <c r="J335"/>
      <c r="K335"/>
      <c r="L335"/>
      <c r="M335"/>
      <c r="N335"/>
      <c r="O335"/>
      <c r="P335"/>
      <c r="Q335"/>
      <c r="R335"/>
    </row>
    <row r="336" spans="1:18" ht="15" x14ac:dyDescent="0.25">
      <c r="A336"/>
      <c r="B336"/>
      <c r="C336"/>
      <c r="D336"/>
      <c r="E336"/>
      <c r="F336"/>
      <c r="G336"/>
      <c r="H336"/>
      <c r="I336"/>
      <c r="J336"/>
      <c r="K336"/>
      <c r="L336"/>
      <c r="M336"/>
      <c r="N336"/>
      <c r="O336"/>
      <c r="P336"/>
      <c r="Q336"/>
      <c r="R336"/>
    </row>
    <row r="337" spans="1:18" ht="15" x14ac:dyDescent="0.25">
      <c r="A337"/>
      <c r="B337"/>
      <c r="C337"/>
      <c r="D337"/>
      <c r="E337"/>
      <c r="F337"/>
      <c r="G337"/>
      <c r="H337"/>
      <c r="I337"/>
      <c r="J337"/>
      <c r="K337"/>
      <c r="L337"/>
      <c r="M337"/>
      <c r="N337"/>
      <c r="O337"/>
      <c r="P337"/>
      <c r="Q337"/>
      <c r="R337"/>
    </row>
    <row r="338" spans="1:18" ht="15" x14ac:dyDescent="0.25">
      <c r="A338"/>
      <c r="B338"/>
      <c r="C338"/>
      <c r="D338"/>
      <c r="E338"/>
      <c r="F338"/>
      <c r="G338"/>
      <c r="H338"/>
      <c r="I338"/>
      <c r="J338"/>
      <c r="K338"/>
      <c r="L338"/>
      <c r="M338"/>
      <c r="N338"/>
      <c r="O338"/>
      <c r="P338"/>
      <c r="Q338"/>
      <c r="R338"/>
    </row>
    <row r="339" spans="1:18" ht="15" x14ac:dyDescent="0.25">
      <c r="A339"/>
      <c r="B339"/>
      <c r="C339"/>
      <c r="D339"/>
      <c r="E339"/>
      <c r="F339"/>
      <c r="G339"/>
      <c r="H339"/>
      <c r="I339"/>
      <c r="J339"/>
      <c r="K339"/>
      <c r="L339"/>
      <c r="M339"/>
      <c r="N339"/>
      <c r="O339"/>
      <c r="P339"/>
      <c r="Q339"/>
      <c r="R339"/>
    </row>
    <row r="340" spans="1:18" ht="15" x14ac:dyDescent="0.25">
      <c r="A340"/>
      <c r="B340"/>
      <c r="C340"/>
      <c r="D340"/>
      <c r="E340"/>
      <c r="F340"/>
      <c r="G340"/>
      <c r="H340"/>
      <c r="I340"/>
      <c r="J340"/>
      <c r="K340"/>
      <c r="L340"/>
      <c r="M340"/>
      <c r="N340"/>
      <c r="O340"/>
      <c r="P340"/>
      <c r="Q340"/>
      <c r="R340"/>
    </row>
    <row r="341" spans="1:18" ht="15" x14ac:dyDescent="0.25">
      <c r="A341"/>
      <c r="B341"/>
      <c r="C341"/>
      <c r="D341"/>
      <c r="E341"/>
      <c r="F341"/>
      <c r="G341"/>
      <c r="H341"/>
      <c r="I341"/>
      <c r="J341"/>
      <c r="K341"/>
      <c r="L341"/>
      <c r="M341"/>
      <c r="N341"/>
      <c r="O341"/>
      <c r="P341"/>
      <c r="Q341"/>
      <c r="R341"/>
    </row>
    <row r="342" spans="1:18" ht="15" x14ac:dyDescent="0.25">
      <c r="A342"/>
      <c r="B342"/>
      <c r="C342"/>
      <c r="D342"/>
      <c r="E342"/>
      <c r="F342"/>
      <c r="G342"/>
      <c r="H342"/>
      <c r="I342"/>
      <c r="J342"/>
      <c r="K342"/>
      <c r="L342"/>
      <c r="M342"/>
      <c r="N342"/>
      <c r="O342"/>
      <c r="P342"/>
      <c r="Q342"/>
      <c r="R342"/>
    </row>
    <row r="343" spans="1:18" ht="15" x14ac:dyDescent="0.25">
      <c r="A343"/>
      <c r="B343"/>
      <c r="C343"/>
      <c r="D343"/>
      <c r="E343"/>
      <c r="F343"/>
      <c r="G343"/>
      <c r="H343"/>
      <c r="I343"/>
      <c r="J343"/>
      <c r="K343"/>
      <c r="L343"/>
      <c r="M343"/>
      <c r="N343"/>
      <c r="O343"/>
      <c r="P343"/>
      <c r="Q343"/>
      <c r="R343"/>
    </row>
    <row r="344" spans="1:18" ht="15" x14ac:dyDescent="0.25">
      <c r="A344"/>
      <c r="B344"/>
      <c r="C344"/>
      <c r="D344"/>
      <c r="E344"/>
      <c r="F344"/>
      <c r="G344"/>
      <c r="H344"/>
      <c r="I344"/>
      <c r="J344"/>
      <c r="K344"/>
      <c r="L344"/>
      <c r="M344"/>
      <c r="N344"/>
      <c r="O344"/>
      <c r="P344"/>
      <c r="Q344"/>
      <c r="R344"/>
    </row>
    <row r="345" spans="1:18" ht="15" x14ac:dyDescent="0.25">
      <c r="A345"/>
      <c r="B345"/>
      <c r="C345"/>
      <c r="D345"/>
      <c r="E345"/>
      <c r="F345"/>
      <c r="G345"/>
      <c r="H345"/>
      <c r="I345"/>
      <c r="J345"/>
      <c r="K345"/>
      <c r="L345"/>
      <c r="M345"/>
      <c r="N345"/>
      <c r="O345"/>
      <c r="P345"/>
      <c r="Q345"/>
      <c r="R345"/>
    </row>
    <row r="346" spans="1:18" ht="15" x14ac:dyDescent="0.25">
      <c r="A346"/>
      <c r="B346"/>
      <c r="C346"/>
      <c r="D346"/>
      <c r="E346"/>
      <c r="F346"/>
      <c r="G346"/>
      <c r="H346"/>
      <c r="I346"/>
      <c r="J346"/>
      <c r="K346"/>
      <c r="L346"/>
      <c r="M346"/>
      <c r="N346"/>
      <c r="O346"/>
      <c r="P346"/>
      <c r="Q346"/>
      <c r="R346"/>
    </row>
    <row r="347" spans="1:18" ht="15" x14ac:dyDescent="0.25">
      <c r="A347"/>
      <c r="B347"/>
      <c r="C347"/>
      <c r="D347"/>
      <c r="E347"/>
      <c r="F347"/>
      <c r="G347"/>
      <c r="H347"/>
      <c r="I347"/>
      <c r="J347"/>
      <c r="K347"/>
      <c r="L347"/>
      <c r="M347"/>
      <c r="N347"/>
      <c r="O347"/>
      <c r="P347"/>
      <c r="Q347"/>
      <c r="R347"/>
    </row>
    <row r="348" spans="1:18" ht="15" x14ac:dyDescent="0.25">
      <c r="A348"/>
      <c r="B348"/>
      <c r="C348"/>
      <c r="D348"/>
      <c r="E348"/>
      <c r="F348"/>
      <c r="G348"/>
      <c r="H348"/>
      <c r="I348"/>
      <c r="J348"/>
      <c r="K348"/>
      <c r="L348"/>
      <c r="M348"/>
      <c r="N348"/>
      <c r="O348"/>
      <c r="P348"/>
      <c r="Q348"/>
      <c r="R348"/>
    </row>
    <row r="349" spans="1:18" ht="15" x14ac:dyDescent="0.25">
      <c r="A349"/>
      <c r="B349"/>
      <c r="C349"/>
      <c r="D349"/>
      <c r="E349"/>
      <c r="F349"/>
      <c r="G349"/>
      <c r="H349"/>
      <c r="I349"/>
      <c r="J349"/>
      <c r="K349"/>
      <c r="L349"/>
      <c r="M349"/>
      <c r="N349"/>
      <c r="O349"/>
      <c r="P349"/>
      <c r="Q349"/>
      <c r="R349"/>
    </row>
    <row r="350" spans="1:18" ht="15" x14ac:dyDescent="0.25">
      <c r="A350"/>
      <c r="B350"/>
      <c r="C350"/>
      <c r="D350"/>
      <c r="E350"/>
      <c r="F350"/>
      <c r="G350"/>
      <c r="H350"/>
      <c r="I350"/>
      <c r="J350"/>
      <c r="K350"/>
      <c r="L350"/>
      <c r="M350"/>
      <c r="N350"/>
      <c r="O350"/>
      <c r="P350"/>
      <c r="Q350"/>
      <c r="R350"/>
    </row>
    <row r="351" spans="1:18" ht="15" x14ac:dyDescent="0.25">
      <c r="A351"/>
      <c r="B351"/>
      <c r="C351"/>
      <c r="D351"/>
      <c r="E351"/>
      <c r="F351"/>
      <c r="G351"/>
      <c r="H351"/>
      <c r="I351"/>
      <c r="J351"/>
      <c r="K351"/>
      <c r="L351"/>
      <c r="M351"/>
      <c r="N351"/>
      <c r="O351"/>
      <c r="P351"/>
      <c r="Q351"/>
      <c r="R351"/>
    </row>
    <row r="352" spans="1:18" ht="15" x14ac:dyDescent="0.25">
      <c r="A352"/>
      <c r="B352"/>
      <c r="C352"/>
      <c r="D352"/>
      <c r="E352"/>
      <c r="F352"/>
      <c r="G352"/>
      <c r="H352"/>
      <c r="I352"/>
      <c r="J352"/>
      <c r="K352"/>
      <c r="L352"/>
      <c r="M352"/>
      <c r="N352"/>
      <c r="O352"/>
      <c r="P352"/>
      <c r="Q352"/>
      <c r="R352"/>
    </row>
    <row r="353" spans="1:18" ht="15" x14ac:dyDescent="0.25">
      <c r="A353"/>
      <c r="B353"/>
      <c r="C353"/>
      <c r="D353"/>
      <c r="E353"/>
      <c r="F353"/>
      <c r="G353"/>
      <c r="H353"/>
      <c r="I353"/>
      <c r="J353"/>
      <c r="K353"/>
      <c r="L353"/>
      <c r="M353"/>
      <c r="N353"/>
      <c r="O353"/>
      <c r="P353"/>
      <c r="Q353"/>
      <c r="R353"/>
    </row>
    <row r="354" spans="1:18" ht="15" x14ac:dyDescent="0.25">
      <c r="A354"/>
      <c r="B354"/>
      <c r="C354"/>
      <c r="D354"/>
      <c r="E354"/>
      <c r="F354"/>
      <c r="G354"/>
      <c r="H354"/>
      <c r="I354"/>
      <c r="J354"/>
      <c r="K354"/>
      <c r="L354"/>
      <c r="M354"/>
      <c r="N354"/>
      <c r="O354"/>
      <c r="P354"/>
      <c r="Q354"/>
      <c r="R354"/>
    </row>
    <row r="355" spans="1:18" ht="15" x14ac:dyDescent="0.25">
      <c r="A355"/>
      <c r="B355"/>
      <c r="C355"/>
      <c r="D355"/>
      <c r="E355"/>
      <c r="F355"/>
      <c r="G355"/>
      <c r="H355"/>
      <c r="I355"/>
      <c r="J355"/>
      <c r="K355"/>
      <c r="L355"/>
      <c r="M355"/>
      <c r="N355"/>
      <c r="O355"/>
      <c r="P355"/>
      <c r="Q355"/>
      <c r="R355"/>
    </row>
    <row r="356" spans="1:18" ht="15" x14ac:dyDescent="0.25">
      <c r="A356"/>
      <c r="B356"/>
      <c r="C356"/>
      <c r="D356"/>
      <c r="E356"/>
      <c r="F356"/>
      <c r="G356"/>
      <c r="H356"/>
      <c r="I356"/>
      <c r="J356"/>
      <c r="K356"/>
      <c r="L356"/>
      <c r="M356"/>
      <c r="N356"/>
      <c r="O356"/>
      <c r="P356"/>
      <c r="Q356"/>
      <c r="R356"/>
    </row>
    <row r="357" spans="1:18" ht="15" x14ac:dyDescent="0.25">
      <c r="A357"/>
      <c r="B357"/>
      <c r="C357"/>
      <c r="D357"/>
      <c r="E357"/>
      <c r="F357"/>
      <c r="G357"/>
      <c r="H357"/>
      <c r="I357"/>
      <c r="J357"/>
      <c r="K357"/>
      <c r="L357"/>
      <c r="M357"/>
      <c r="N357"/>
      <c r="O357"/>
      <c r="P357"/>
      <c r="Q357"/>
      <c r="R357"/>
    </row>
    <row r="358" spans="1:18" ht="15" x14ac:dyDescent="0.25">
      <c r="A358"/>
      <c r="B358"/>
      <c r="C358"/>
      <c r="D358"/>
      <c r="E358"/>
      <c r="F358"/>
      <c r="G358"/>
      <c r="H358"/>
      <c r="I358"/>
      <c r="J358"/>
      <c r="K358"/>
      <c r="L358"/>
      <c r="M358"/>
      <c r="N358"/>
      <c r="O358"/>
      <c r="P358"/>
      <c r="Q358"/>
      <c r="R358"/>
    </row>
    <row r="359" spans="1:18" ht="15" x14ac:dyDescent="0.25">
      <c r="A359"/>
      <c r="B359"/>
      <c r="C359"/>
      <c r="D359"/>
      <c r="E359"/>
      <c r="F359"/>
      <c r="G359"/>
      <c r="H359"/>
      <c r="I359"/>
      <c r="J359"/>
      <c r="K359"/>
      <c r="L359"/>
      <c r="M359"/>
      <c r="N359"/>
      <c r="O359"/>
      <c r="P359"/>
      <c r="Q359"/>
      <c r="R359"/>
    </row>
    <row r="360" spans="1:18" ht="15" x14ac:dyDescent="0.25">
      <c r="A360"/>
      <c r="B360"/>
      <c r="C360"/>
      <c r="D360"/>
      <c r="E360"/>
      <c r="F360"/>
      <c r="G360"/>
      <c r="H360"/>
      <c r="I360"/>
      <c r="J360"/>
      <c r="K360"/>
      <c r="L360"/>
      <c r="M360"/>
      <c r="N360"/>
      <c r="O360"/>
      <c r="P360"/>
      <c r="Q360"/>
      <c r="R360"/>
    </row>
    <row r="361" spans="1:18" ht="15" x14ac:dyDescent="0.25">
      <c r="A361"/>
      <c r="B361"/>
      <c r="C361"/>
      <c r="D361"/>
      <c r="E361"/>
      <c r="F361"/>
      <c r="G361"/>
      <c r="H361"/>
      <c r="I361"/>
      <c r="J361"/>
      <c r="K361"/>
      <c r="L361"/>
      <c r="M361"/>
      <c r="N361"/>
      <c r="O361"/>
      <c r="P361"/>
      <c r="Q361"/>
      <c r="R361"/>
    </row>
    <row r="362" spans="1:18" ht="15" x14ac:dyDescent="0.25">
      <c r="A362"/>
      <c r="B362"/>
      <c r="C362"/>
      <c r="D362"/>
      <c r="E362"/>
      <c r="F362"/>
      <c r="G362"/>
      <c r="H362"/>
      <c r="I362"/>
      <c r="J362"/>
      <c r="K362"/>
      <c r="L362"/>
      <c r="M362"/>
      <c r="N362"/>
      <c r="O362"/>
      <c r="P362"/>
      <c r="Q362"/>
      <c r="R362"/>
    </row>
    <row r="363" spans="1:18" ht="15" x14ac:dyDescent="0.25">
      <c r="A363"/>
      <c r="B363"/>
      <c r="C363"/>
      <c r="D363"/>
      <c r="E363"/>
      <c r="F363"/>
      <c r="G363"/>
      <c r="H363"/>
      <c r="I363"/>
      <c r="J363"/>
      <c r="K363"/>
      <c r="L363"/>
      <c r="M363"/>
      <c r="N363"/>
      <c r="O363"/>
      <c r="P363"/>
      <c r="Q363"/>
      <c r="R363"/>
    </row>
    <row r="364" spans="1:18" ht="15" x14ac:dyDescent="0.25">
      <c r="A364"/>
      <c r="B364"/>
      <c r="C364"/>
      <c r="D364"/>
      <c r="E364"/>
      <c r="F364"/>
      <c r="G364"/>
      <c r="H364"/>
      <c r="I364"/>
      <c r="J364"/>
      <c r="K364"/>
      <c r="L364"/>
      <c r="M364"/>
      <c r="N364"/>
      <c r="O364"/>
      <c r="P364"/>
      <c r="Q364"/>
      <c r="R364"/>
    </row>
    <row r="365" spans="1:18" ht="15" x14ac:dyDescent="0.25">
      <c r="A365"/>
      <c r="B365"/>
      <c r="C365"/>
      <c r="D365"/>
      <c r="E365"/>
      <c r="F365"/>
      <c r="G365"/>
      <c r="H365"/>
      <c r="I365"/>
      <c r="J365"/>
      <c r="K365"/>
      <c r="L365"/>
      <c r="M365"/>
      <c r="N365"/>
      <c r="O365"/>
      <c r="P365"/>
      <c r="Q365"/>
      <c r="R365"/>
    </row>
    <row r="366" spans="1:18" ht="15" x14ac:dyDescent="0.25">
      <c r="A366"/>
      <c r="B366"/>
      <c r="C366"/>
      <c r="D366"/>
      <c r="E366"/>
      <c r="F366"/>
      <c r="G366"/>
      <c r="H366"/>
      <c r="I366"/>
      <c r="J366"/>
      <c r="K366"/>
      <c r="L366"/>
      <c r="M366"/>
      <c r="N366"/>
      <c r="O366"/>
      <c r="P366"/>
      <c r="Q366"/>
      <c r="R366"/>
    </row>
    <row r="367" spans="1:18" ht="15" x14ac:dyDescent="0.25">
      <c r="A367"/>
      <c r="B367"/>
      <c r="C367"/>
      <c r="D367"/>
      <c r="E367"/>
      <c r="F367"/>
      <c r="G367"/>
      <c r="H367"/>
      <c r="I367"/>
      <c r="J367"/>
      <c r="K367"/>
      <c r="L367"/>
      <c r="M367"/>
      <c r="N367"/>
      <c r="O367"/>
      <c r="P367"/>
      <c r="Q367"/>
      <c r="R367"/>
    </row>
    <row r="368" spans="1:18" ht="15" x14ac:dyDescent="0.25">
      <c r="A368"/>
      <c r="B368"/>
      <c r="C368"/>
      <c r="D368"/>
      <c r="E368"/>
      <c r="F368"/>
      <c r="G368"/>
      <c r="H368"/>
      <c r="I368"/>
      <c r="J368"/>
      <c r="K368"/>
      <c r="L368"/>
      <c r="M368"/>
      <c r="N368"/>
      <c r="O368"/>
      <c r="P368"/>
      <c r="Q368"/>
      <c r="R368"/>
    </row>
    <row r="369" spans="1:18" ht="15" x14ac:dyDescent="0.25">
      <c r="A369"/>
      <c r="B369"/>
      <c r="C369"/>
      <c r="D369"/>
      <c r="E369"/>
      <c r="F369"/>
      <c r="G369"/>
      <c r="H369"/>
      <c r="I369"/>
      <c r="J369"/>
      <c r="K369"/>
      <c r="L369"/>
      <c r="M369"/>
      <c r="N369"/>
      <c r="O369"/>
      <c r="P369"/>
      <c r="Q369"/>
      <c r="R369"/>
    </row>
    <row r="370" spans="1:18" ht="15" x14ac:dyDescent="0.25">
      <c r="A370"/>
      <c r="B370"/>
      <c r="C370"/>
      <c r="D370"/>
      <c r="E370"/>
      <c r="F370"/>
      <c r="G370"/>
      <c r="H370"/>
      <c r="I370"/>
      <c r="J370"/>
      <c r="K370"/>
      <c r="L370"/>
      <c r="M370"/>
      <c r="N370"/>
      <c r="O370"/>
      <c r="P370"/>
      <c r="Q370"/>
      <c r="R370"/>
    </row>
    <row r="371" spans="1:18" ht="15" x14ac:dyDescent="0.25">
      <c r="A371"/>
      <c r="B371"/>
      <c r="C371"/>
      <c r="D371"/>
      <c r="E371"/>
      <c r="F371"/>
      <c r="G371"/>
      <c r="H371"/>
      <c r="I371"/>
      <c r="J371"/>
      <c r="K371"/>
      <c r="L371"/>
      <c r="M371"/>
      <c r="N371"/>
      <c r="O371"/>
      <c r="P371"/>
      <c r="Q371"/>
      <c r="R371"/>
    </row>
    <row r="372" spans="1:18" ht="15" x14ac:dyDescent="0.25">
      <c r="A372"/>
      <c r="B372"/>
      <c r="C372"/>
      <c r="D372"/>
      <c r="E372"/>
      <c r="F372"/>
      <c r="G372"/>
      <c r="H372"/>
      <c r="I372"/>
      <c r="J372"/>
      <c r="K372"/>
      <c r="L372"/>
      <c r="M372"/>
      <c r="N372"/>
      <c r="O372"/>
      <c r="P372"/>
      <c r="Q372"/>
      <c r="R372"/>
    </row>
    <row r="373" spans="1:18" ht="15" x14ac:dyDescent="0.25">
      <c r="A373"/>
      <c r="B373"/>
      <c r="C373"/>
      <c r="D373"/>
      <c r="E373"/>
      <c r="F373"/>
      <c r="G373"/>
      <c r="H373"/>
      <c r="I373"/>
      <c r="J373"/>
      <c r="K373"/>
      <c r="L373"/>
      <c r="M373"/>
      <c r="N373"/>
      <c r="O373"/>
      <c r="P373"/>
      <c r="Q373"/>
      <c r="R373"/>
    </row>
    <row r="374" spans="1:18" ht="15" x14ac:dyDescent="0.25">
      <c r="A374"/>
      <c r="B374"/>
      <c r="C374"/>
      <c r="D374"/>
      <c r="E374"/>
      <c r="F374"/>
      <c r="G374"/>
      <c r="H374"/>
      <c r="I374"/>
      <c r="J374"/>
      <c r="K374"/>
      <c r="L374"/>
      <c r="M374"/>
      <c r="N374"/>
      <c r="O374"/>
      <c r="P374"/>
      <c r="Q374"/>
      <c r="R374"/>
    </row>
    <row r="375" spans="1:18" ht="15" x14ac:dyDescent="0.25">
      <c r="A375"/>
      <c r="B375"/>
      <c r="C375"/>
      <c r="D375"/>
      <c r="E375"/>
      <c r="F375"/>
      <c r="G375"/>
      <c r="H375"/>
      <c r="I375"/>
      <c r="J375"/>
      <c r="K375"/>
      <c r="L375"/>
      <c r="M375"/>
      <c r="N375"/>
      <c r="O375"/>
      <c r="P375"/>
      <c r="Q375"/>
      <c r="R375"/>
    </row>
    <row r="376" spans="1:18" ht="15" x14ac:dyDescent="0.25">
      <c r="A376"/>
      <c r="B376"/>
      <c r="C376"/>
      <c r="D376"/>
      <c r="E376"/>
      <c r="F376"/>
      <c r="G376"/>
      <c r="H376"/>
      <c r="I376"/>
      <c r="J376"/>
      <c r="K376"/>
      <c r="L376"/>
      <c r="M376"/>
      <c r="N376"/>
      <c r="O376"/>
      <c r="P376"/>
      <c r="Q376"/>
      <c r="R376"/>
    </row>
    <row r="377" spans="1:18" ht="15" x14ac:dyDescent="0.25">
      <c r="A377"/>
      <c r="B377"/>
      <c r="C377"/>
      <c r="D377"/>
      <c r="E377"/>
      <c r="F377"/>
      <c r="G377"/>
      <c r="H377"/>
      <c r="I377"/>
      <c r="J377"/>
      <c r="K377"/>
      <c r="L377"/>
      <c r="M377"/>
      <c r="N377"/>
      <c r="O377"/>
      <c r="P377"/>
      <c r="Q377"/>
      <c r="R377"/>
    </row>
    <row r="378" spans="1:18" ht="15" x14ac:dyDescent="0.25">
      <c r="A378"/>
      <c r="B378"/>
      <c r="C378"/>
      <c r="D378"/>
      <c r="E378"/>
      <c r="F378"/>
      <c r="G378"/>
      <c r="H378"/>
      <c r="I378"/>
      <c r="J378"/>
      <c r="K378"/>
      <c r="L378"/>
      <c r="M378"/>
      <c r="N378"/>
      <c r="O378"/>
      <c r="P378"/>
      <c r="Q378"/>
      <c r="R378"/>
    </row>
    <row r="379" spans="1:18" ht="15" x14ac:dyDescent="0.25">
      <c r="A379"/>
      <c r="B379"/>
      <c r="C379"/>
      <c r="D379"/>
      <c r="E379"/>
      <c r="F379"/>
      <c r="G379"/>
      <c r="H379"/>
      <c r="I379"/>
      <c r="J379"/>
      <c r="K379"/>
      <c r="L379"/>
      <c r="M379"/>
      <c r="N379"/>
      <c r="O379"/>
      <c r="P379"/>
      <c r="Q379"/>
      <c r="R379"/>
    </row>
    <row r="380" spans="1:18" ht="15" x14ac:dyDescent="0.25">
      <c r="A380"/>
      <c r="B380"/>
      <c r="C380"/>
      <c r="D380"/>
      <c r="E380"/>
      <c r="F380"/>
      <c r="G380"/>
      <c r="H380"/>
      <c r="I380"/>
      <c r="J380"/>
      <c r="K380"/>
      <c r="L380"/>
      <c r="M380"/>
      <c r="N380"/>
      <c r="O380"/>
      <c r="P380"/>
      <c r="Q380"/>
      <c r="R380"/>
    </row>
    <row r="381" spans="1:18" ht="15" x14ac:dyDescent="0.25">
      <c r="A381"/>
      <c r="B381"/>
      <c r="C381"/>
      <c r="D381"/>
      <c r="E381"/>
      <c r="F381"/>
      <c r="G381"/>
      <c r="H381"/>
      <c r="I381"/>
      <c r="J381"/>
      <c r="K381"/>
      <c r="L381"/>
      <c r="M381"/>
      <c r="N381"/>
      <c r="O381"/>
      <c r="P381"/>
      <c r="Q381"/>
      <c r="R381"/>
    </row>
    <row r="382" spans="1:18" ht="15" x14ac:dyDescent="0.25">
      <c r="A382"/>
      <c r="B382"/>
      <c r="C382"/>
      <c r="D382"/>
      <c r="E382"/>
      <c r="F382"/>
      <c r="G382"/>
      <c r="H382"/>
      <c r="I382"/>
      <c r="J382"/>
      <c r="K382"/>
      <c r="L382"/>
      <c r="M382"/>
      <c r="N382"/>
      <c r="O382"/>
      <c r="P382"/>
      <c r="Q382"/>
      <c r="R382"/>
    </row>
    <row r="383" spans="1:18" ht="15" x14ac:dyDescent="0.25">
      <c r="A383"/>
      <c r="B383"/>
      <c r="C383"/>
      <c r="D383"/>
      <c r="E383"/>
      <c r="F383"/>
      <c r="G383"/>
      <c r="H383"/>
      <c r="I383"/>
      <c r="J383"/>
      <c r="K383"/>
      <c r="L383"/>
      <c r="M383"/>
      <c r="N383"/>
      <c r="O383"/>
      <c r="P383"/>
      <c r="Q383"/>
      <c r="R383"/>
    </row>
    <row r="384" spans="1:18" ht="15" x14ac:dyDescent="0.25">
      <c r="A384"/>
      <c r="B384"/>
      <c r="C384"/>
      <c r="D384"/>
      <c r="E384"/>
      <c r="F384"/>
      <c r="G384"/>
      <c r="H384"/>
      <c r="I384"/>
      <c r="J384"/>
      <c r="K384"/>
      <c r="L384"/>
      <c r="M384"/>
      <c r="N384"/>
      <c r="O384"/>
      <c r="P384"/>
      <c r="Q384"/>
      <c r="R384"/>
    </row>
    <row r="385" spans="1:18" ht="15" x14ac:dyDescent="0.25">
      <c r="A385"/>
      <c r="B385"/>
      <c r="C385"/>
      <c r="D385"/>
      <c r="E385"/>
      <c r="F385"/>
      <c r="G385"/>
      <c r="H385"/>
      <c r="I385"/>
      <c r="J385"/>
      <c r="K385"/>
      <c r="L385"/>
      <c r="M385"/>
      <c r="N385"/>
      <c r="O385"/>
      <c r="P385"/>
      <c r="Q385"/>
      <c r="R385"/>
    </row>
    <row r="386" spans="1:18" ht="15" x14ac:dyDescent="0.25">
      <c r="A386"/>
      <c r="B386"/>
      <c r="C386"/>
      <c r="D386"/>
      <c r="E386"/>
      <c r="F386"/>
      <c r="G386"/>
      <c r="H386"/>
      <c r="I386"/>
      <c r="J386"/>
      <c r="K386"/>
      <c r="L386"/>
      <c r="M386"/>
      <c r="N386"/>
      <c r="O386"/>
      <c r="P386"/>
      <c r="Q386"/>
      <c r="R386"/>
    </row>
    <row r="387" spans="1:18" ht="15" x14ac:dyDescent="0.25">
      <c r="A387"/>
      <c r="B387"/>
      <c r="C387"/>
      <c r="D387"/>
      <c r="E387"/>
      <c r="F387"/>
      <c r="G387"/>
      <c r="H387"/>
      <c r="I387"/>
      <c r="J387"/>
      <c r="K387"/>
      <c r="L387"/>
      <c r="M387"/>
      <c r="N387"/>
      <c r="O387"/>
      <c r="P387"/>
      <c r="Q387"/>
      <c r="R387"/>
    </row>
    <row r="388" spans="1:18" ht="15" x14ac:dyDescent="0.25">
      <c r="A388"/>
      <c r="B388"/>
      <c r="C388"/>
      <c r="D388"/>
      <c r="E388"/>
      <c r="F388"/>
      <c r="G388"/>
      <c r="H388"/>
      <c r="I388"/>
      <c r="J388"/>
      <c r="K388"/>
      <c r="L388"/>
      <c r="M388"/>
      <c r="N388"/>
      <c r="O388"/>
      <c r="P388"/>
      <c r="Q388"/>
      <c r="R388"/>
    </row>
    <row r="389" spans="1:18" ht="15" x14ac:dyDescent="0.25">
      <c r="A389"/>
      <c r="B389"/>
      <c r="C389"/>
      <c r="D389"/>
      <c r="E389"/>
      <c r="F389"/>
      <c r="G389"/>
      <c r="H389"/>
      <c r="I389"/>
      <c r="J389"/>
      <c r="K389"/>
      <c r="L389"/>
      <c r="M389"/>
      <c r="N389"/>
      <c r="O389"/>
      <c r="P389"/>
      <c r="Q389"/>
      <c r="R389"/>
    </row>
    <row r="390" spans="1:18" ht="15" x14ac:dyDescent="0.25">
      <c r="A390"/>
      <c r="B390"/>
      <c r="C390"/>
      <c r="D390"/>
      <c r="E390"/>
      <c r="F390"/>
      <c r="G390"/>
      <c r="H390"/>
      <c r="I390"/>
      <c r="J390"/>
      <c r="K390"/>
      <c r="L390"/>
      <c r="M390"/>
      <c r="N390"/>
      <c r="O390"/>
      <c r="P390"/>
      <c r="Q390"/>
      <c r="R390"/>
    </row>
    <row r="391" spans="1:18" ht="15" x14ac:dyDescent="0.25">
      <c r="A391"/>
      <c r="B391"/>
      <c r="C391"/>
      <c r="D391"/>
      <c r="E391"/>
      <c r="F391"/>
      <c r="G391"/>
      <c r="H391"/>
      <c r="I391"/>
      <c r="J391"/>
      <c r="K391"/>
      <c r="L391"/>
      <c r="M391"/>
      <c r="N391"/>
      <c r="O391"/>
      <c r="P391"/>
      <c r="Q391"/>
      <c r="R391"/>
    </row>
    <row r="392" spans="1:18" ht="15" x14ac:dyDescent="0.25">
      <c r="A392"/>
      <c r="B392"/>
      <c r="C392"/>
      <c r="D392"/>
      <c r="E392"/>
      <c r="F392"/>
      <c r="G392"/>
      <c r="H392"/>
      <c r="I392"/>
      <c r="J392"/>
      <c r="K392"/>
      <c r="L392"/>
      <c r="M392"/>
      <c r="N392"/>
      <c r="O392"/>
      <c r="P392"/>
      <c r="Q392"/>
      <c r="R392"/>
    </row>
    <row r="393" spans="1:18" ht="15" x14ac:dyDescent="0.25">
      <c r="A393"/>
      <c r="B393"/>
      <c r="C393"/>
      <c r="D393"/>
      <c r="E393"/>
      <c r="F393"/>
      <c r="G393"/>
      <c r="H393"/>
      <c r="I393"/>
      <c r="J393"/>
      <c r="K393"/>
      <c r="L393"/>
      <c r="M393"/>
      <c r="N393"/>
      <c r="O393"/>
      <c r="P393"/>
      <c r="Q393"/>
      <c r="R393"/>
    </row>
    <row r="394" spans="1:18" ht="15" x14ac:dyDescent="0.25">
      <c r="A394"/>
      <c r="B394"/>
      <c r="C394"/>
      <c r="D394"/>
      <c r="E394"/>
      <c r="F394"/>
      <c r="G394"/>
      <c r="H394"/>
      <c r="I394"/>
      <c r="J394"/>
      <c r="K394"/>
      <c r="L394"/>
      <c r="M394"/>
      <c r="N394"/>
      <c r="O394"/>
      <c r="P394"/>
      <c r="Q394"/>
      <c r="R394"/>
    </row>
    <row r="395" spans="1:18" ht="15" x14ac:dyDescent="0.25">
      <c r="A395"/>
      <c r="B395"/>
      <c r="C395"/>
      <c r="D395"/>
      <c r="E395"/>
      <c r="F395"/>
      <c r="G395"/>
      <c r="H395"/>
      <c r="I395"/>
      <c r="J395"/>
      <c r="K395"/>
      <c r="L395"/>
      <c r="M395"/>
      <c r="N395"/>
      <c r="O395"/>
      <c r="P395"/>
      <c r="Q395"/>
      <c r="R395"/>
    </row>
    <row r="396" spans="1:18" ht="15" x14ac:dyDescent="0.25">
      <c r="A396"/>
      <c r="B396"/>
      <c r="C396"/>
      <c r="D396"/>
      <c r="E396"/>
      <c r="F396"/>
      <c r="G396"/>
      <c r="H396"/>
      <c r="I396"/>
      <c r="J396"/>
      <c r="K396"/>
      <c r="L396"/>
      <c r="M396"/>
      <c r="N396"/>
      <c r="O396"/>
      <c r="P396"/>
      <c r="Q396"/>
      <c r="R396"/>
    </row>
    <row r="397" spans="1:18" ht="15" x14ac:dyDescent="0.25">
      <c r="A397"/>
      <c r="B397"/>
      <c r="C397"/>
      <c r="D397"/>
      <c r="E397"/>
      <c r="F397"/>
      <c r="G397"/>
      <c r="H397"/>
      <c r="I397"/>
      <c r="J397"/>
      <c r="K397"/>
      <c r="L397"/>
      <c r="M397"/>
      <c r="N397"/>
      <c r="O397"/>
      <c r="P397"/>
      <c r="Q397"/>
      <c r="R397"/>
    </row>
    <row r="398" spans="1:18" ht="15" x14ac:dyDescent="0.25">
      <c r="A398"/>
      <c r="B398"/>
      <c r="C398"/>
      <c r="D398"/>
      <c r="E398"/>
      <c r="F398"/>
      <c r="G398"/>
      <c r="H398"/>
      <c r="I398"/>
      <c r="J398"/>
      <c r="K398"/>
      <c r="L398"/>
      <c r="M398"/>
      <c r="N398"/>
      <c r="O398"/>
      <c r="P398"/>
      <c r="Q398"/>
      <c r="R398"/>
    </row>
    <row r="399" spans="1:18" ht="15" x14ac:dyDescent="0.25">
      <c r="A399"/>
      <c r="B399"/>
      <c r="C399"/>
      <c r="D399"/>
      <c r="E399"/>
      <c r="F399"/>
      <c r="G399"/>
      <c r="H399"/>
      <c r="I399"/>
      <c r="J399"/>
      <c r="K399"/>
      <c r="L399"/>
      <c r="M399"/>
      <c r="N399"/>
      <c r="O399"/>
      <c r="P399"/>
      <c r="Q399"/>
      <c r="R399"/>
    </row>
    <row r="400" spans="1:18" ht="15" x14ac:dyDescent="0.25">
      <c r="A400"/>
      <c r="B400"/>
      <c r="C400"/>
      <c r="D400"/>
      <c r="E400"/>
      <c r="F400"/>
      <c r="G400"/>
      <c r="H400"/>
      <c r="I400"/>
      <c r="J400"/>
      <c r="K400"/>
      <c r="L400"/>
      <c r="M400"/>
      <c r="N400"/>
      <c r="O400"/>
      <c r="P400"/>
      <c r="Q400"/>
      <c r="R400"/>
    </row>
    <row r="401" spans="1:18" ht="15" x14ac:dyDescent="0.25">
      <c r="A401"/>
      <c r="B401"/>
      <c r="C401"/>
      <c r="D401"/>
      <c r="E401"/>
      <c r="F401"/>
      <c r="G401"/>
      <c r="H401"/>
      <c r="I401"/>
      <c r="J401"/>
      <c r="K401"/>
      <c r="L401"/>
      <c r="M401"/>
      <c r="N401"/>
      <c r="O401"/>
      <c r="P401"/>
      <c r="Q401"/>
      <c r="R401"/>
    </row>
    <row r="402" spans="1:18" ht="15" x14ac:dyDescent="0.25">
      <c r="A402"/>
      <c r="B402"/>
      <c r="C402"/>
      <c r="D402"/>
      <c r="E402"/>
      <c r="F402"/>
      <c r="G402"/>
      <c r="H402"/>
      <c r="I402"/>
      <c r="J402"/>
      <c r="K402"/>
      <c r="L402"/>
      <c r="M402"/>
      <c r="N402"/>
      <c r="O402"/>
      <c r="P402"/>
      <c r="Q402"/>
      <c r="R402"/>
    </row>
    <row r="403" spans="1:18" ht="15" x14ac:dyDescent="0.25">
      <c r="A403"/>
      <c r="B403"/>
      <c r="C403"/>
      <c r="D403"/>
      <c r="E403"/>
      <c r="F403"/>
      <c r="G403"/>
      <c r="H403"/>
      <c r="I403"/>
      <c r="J403"/>
      <c r="K403"/>
      <c r="L403"/>
      <c r="M403"/>
      <c r="N403"/>
      <c r="O403"/>
      <c r="P403"/>
      <c r="Q403"/>
      <c r="R403"/>
    </row>
    <row r="404" spans="1:18" ht="15" x14ac:dyDescent="0.25">
      <c r="A404"/>
      <c r="B404"/>
      <c r="C404"/>
      <c r="D404"/>
      <c r="E404"/>
      <c r="F404"/>
      <c r="G404"/>
      <c r="H404"/>
      <c r="I404"/>
      <c r="J404"/>
      <c r="K404"/>
      <c r="L404"/>
      <c r="M404"/>
      <c r="N404"/>
      <c r="O404"/>
      <c r="P404"/>
      <c r="Q404"/>
      <c r="R404"/>
    </row>
    <row r="405" spans="1:18" ht="15" x14ac:dyDescent="0.25">
      <c r="A405"/>
      <c r="B405"/>
      <c r="C405"/>
      <c r="D405"/>
      <c r="E405"/>
      <c r="F405"/>
      <c r="G405"/>
      <c r="H405"/>
      <c r="I405"/>
      <c r="J405"/>
      <c r="K405"/>
      <c r="L405"/>
      <c r="M405"/>
      <c r="N405"/>
      <c r="O405"/>
      <c r="P405"/>
      <c r="Q405"/>
      <c r="R405"/>
    </row>
    <row r="406" spans="1:18" ht="15" x14ac:dyDescent="0.25">
      <c r="A406"/>
      <c r="B406"/>
      <c r="C406"/>
      <c r="D406"/>
      <c r="E406"/>
      <c r="F406"/>
      <c r="G406"/>
      <c r="H406"/>
      <c r="I406"/>
      <c r="J406"/>
      <c r="K406"/>
      <c r="L406"/>
      <c r="M406"/>
      <c r="N406"/>
      <c r="O406"/>
      <c r="P406"/>
      <c r="Q406"/>
      <c r="R406"/>
    </row>
    <row r="407" spans="1:18" ht="15" x14ac:dyDescent="0.25">
      <c r="A407"/>
      <c r="B407"/>
      <c r="C407"/>
      <c r="D407"/>
      <c r="E407"/>
      <c r="F407"/>
      <c r="G407"/>
      <c r="H407"/>
      <c r="I407"/>
      <c r="J407"/>
      <c r="K407"/>
      <c r="L407"/>
      <c r="M407"/>
      <c r="N407"/>
      <c r="O407"/>
      <c r="P407"/>
      <c r="Q407"/>
      <c r="R407"/>
    </row>
    <row r="408" spans="1:18" ht="15" x14ac:dyDescent="0.25">
      <c r="A408"/>
      <c r="B408"/>
      <c r="C408"/>
      <c r="D408"/>
      <c r="E408"/>
      <c r="F408"/>
      <c r="G408"/>
      <c r="H408"/>
      <c r="I408"/>
      <c r="J408"/>
      <c r="K408"/>
      <c r="L408"/>
      <c r="M408"/>
      <c r="N408"/>
      <c r="O408"/>
      <c r="P408"/>
      <c r="Q408"/>
      <c r="R408"/>
    </row>
    <row r="409" spans="1:18" ht="15" x14ac:dyDescent="0.25">
      <c r="A409"/>
      <c r="B409"/>
      <c r="C409"/>
      <c r="D409"/>
      <c r="E409"/>
      <c r="F409"/>
      <c r="G409"/>
      <c r="H409"/>
      <c r="I409"/>
      <c r="J409"/>
      <c r="K409"/>
      <c r="L409"/>
      <c r="M409"/>
      <c r="N409"/>
      <c r="O409"/>
      <c r="P409"/>
      <c r="Q409"/>
      <c r="R409"/>
    </row>
    <row r="410" spans="1:18" ht="15" x14ac:dyDescent="0.25">
      <c r="A410"/>
      <c r="B410"/>
      <c r="C410"/>
      <c r="D410"/>
      <c r="E410"/>
      <c r="F410"/>
      <c r="G410"/>
      <c r="H410"/>
      <c r="I410"/>
      <c r="J410"/>
      <c r="K410"/>
      <c r="L410"/>
      <c r="M410"/>
      <c r="N410"/>
      <c r="O410"/>
      <c r="P410"/>
      <c r="Q410"/>
      <c r="R410"/>
    </row>
    <row r="411" spans="1:18" ht="15" x14ac:dyDescent="0.25">
      <c r="A411"/>
      <c r="B411"/>
      <c r="C411"/>
      <c r="D411"/>
      <c r="E411"/>
      <c r="F411"/>
      <c r="G411"/>
      <c r="H411"/>
      <c r="I411"/>
      <c r="J411"/>
      <c r="K411"/>
      <c r="L411"/>
      <c r="M411"/>
      <c r="N411"/>
      <c r="O411"/>
      <c r="P411"/>
      <c r="Q411"/>
      <c r="R411"/>
    </row>
    <row r="412" spans="1:18" ht="15" x14ac:dyDescent="0.25">
      <c r="A412"/>
      <c r="B412"/>
      <c r="C412"/>
      <c r="D412"/>
      <c r="E412"/>
      <c r="F412"/>
      <c r="G412"/>
      <c r="H412"/>
      <c r="I412"/>
      <c r="J412"/>
      <c r="K412"/>
      <c r="L412"/>
      <c r="M412"/>
      <c r="N412"/>
      <c r="O412"/>
      <c r="P412"/>
      <c r="Q412"/>
      <c r="R412"/>
    </row>
    <row r="413" spans="1:18" ht="15" x14ac:dyDescent="0.25">
      <c r="A413"/>
      <c r="B413"/>
      <c r="C413"/>
      <c r="D413"/>
      <c r="E413"/>
      <c r="F413"/>
      <c r="G413"/>
      <c r="H413"/>
      <c r="I413"/>
      <c r="J413"/>
      <c r="K413"/>
      <c r="L413"/>
      <c r="M413"/>
      <c r="N413"/>
      <c r="O413"/>
      <c r="P413"/>
      <c r="Q413"/>
      <c r="R413"/>
    </row>
    <row r="414" spans="1:18" ht="15" x14ac:dyDescent="0.25">
      <c r="A414"/>
      <c r="B414"/>
      <c r="C414"/>
      <c r="D414"/>
      <c r="E414"/>
      <c r="F414"/>
      <c r="G414"/>
      <c r="H414"/>
      <c r="I414"/>
      <c r="J414"/>
      <c r="K414"/>
      <c r="L414"/>
      <c r="M414"/>
      <c r="N414"/>
      <c r="O414"/>
      <c r="P414"/>
      <c r="Q414"/>
      <c r="R414"/>
    </row>
    <row r="415" spans="1:18" ht="15" x14ac:dyDescent="0.25">
      <c r="A415"/>
      <c r="B415"/>
      <c r="C415"/>
      <c r="D415"/>
      <c r="E415"/>
      <c r="F415"/>
      <c r="G415"/>
      <c r="H415"/>
      <c r="I415"/>
      <c r="J415"/>
      <c r="K415"/>
      <c r="L415"/>
      <c r="M415"/>
      <c r="N415"/>
      <c r="O415"/>
      <c r="P415"/>
      <c r="Q415"/>
      <c r="R415"/>
    </row>
    <row r="416" spans="1:18" ht="15" x14ac:dyDescent="0.25">
      <c r="A416"/>
      <c r="B416"/>
      <c r="C416"/>
      <c r="D416"/>
      <c r="E416"/>
      <c r="F416"/>
      <c r="G416"/>
      <c r="H416"/>
      <c r="I416"/>
      <c r="J416"/>
      <c r="K416"/>
      <c r="L416"/>
      <c r="M416"/>
      <c r="N416"/>
      <c r="O416"/>
      <c r="P416"/>
      <c r="Q416"/>
      <c r="R416"/>
    </row>
    <row r="417" spans="1:18" ht="15" x14ac:dyDescent="0.25">
      <c r="A417"/>
      <c r="B417"/>
      <c r="C417"/>
      <c r="D417"/>
      <c r="E417"/>
      <c r="F417"/>
      <c r="G417"/>
      <c r="H417"/>
      <c r="I417"/>
      <c r="J417"/>
      <c r="K417"/>
      <c r="L417"/>
      <c r="M417"/>
      <c r="N417"/>
      <c r="O417"/>
      <c r="P417"/>
      <c r="Q417"/>
      <c r="R417"/>
    </row>
    <row r="418" spans="1:18" ht="15" x14ac:dyDescent="0.25">
      <c r="A418"/>
      <c r="B418"/>
      <c r="C418"/>
      <c r="D418"/>
      <c r="E418"/>
      <c r="F418"/>
      <c r="G418"/>
      <c r="H418"/>
      <c r="I418"/>
      <c r="J418"/>
      <c r="K418"/>
      <c r="L418"/>
      <c r="M418"/>
      <c r="N418"/>
      <c r="O418"/>
      <c r="P418"/>
      <c r="Q418"/>
      <c r="R418"/>
    </row>
    <row r="419" spans="1:18" ht="15" x14ac:dyDescent="0.25">
      <c r="A419"/>
      <c r="B419"/>
      <c r="C419"/>
      <c r="D419"/>
      <c r="E419"/>
      <c r="F419"/>
      <c r="G419"/>
      <c r="H419"/>
      <c r="I419"/>
      <c r="J419"/>
      <c r="K419"/>
      <c r="L419"/>
      <c r="M419"/>
      <c r="N419"/>
      <c r="O419"/>
      <c r="P419"/>
      <c r="Q419"/>
      <c r="R419"/>
    </row>
    <row r="420" spans="1:18" ht="15" x14ac:dyDescent="0.25">
      <c r="A420"/>
      <c r="B420"/>
      <c r="C420"/>
      <c r="D420"/>
      <c r="E420"/>
      <c r="F420"/>
      <c r="G420"/>
      <c r="H420"/>
      <c r="I420"/>
      <c r="J420"/>
      <c r="K420"/>
      <c r="L420"/>
      <c r="M420"/>
      <c r="N420"/>
      <c r="O420"/>
      <c r="P420"/>
      <c r="Q420"/>
      <c r="R420"/>
    </row>
    <row r="421" spans="1:18" ht="15" x14ac:dyDescent="0.25">
      <c r="A421"/>
      <c r="B421"/>
      <c r="C421"/>
      <c r="D421"/>
      <c r="E421"/>
      <c r="F421"/>
      <c r="G421"/>
      <c r="H421"/>
      <c r="I421"/>
      <c r="J421"/>
      <c r="K421"/>
      <c r="L421"/>
      <c r="M421"/>
      <c r="N421"/>
      <c r="O421"/>
      <c r="P421"/>
      <c r="Q421"/>
      <c r="R421"/>
    </row>
    <row r="422" spans="1:18" ht="15" x14ac:dyDescent="0.25">
      <c r="A422"/>
      <c r="B422"/>
      <c r="C422"/>
      <c r="D422"/>
      <c r="E422"/>
      <c r="F422"/>
      <c r="G422"/>
      <c r="H422"/>
      <c r="I422"/>
      <c r="J422"/>
      <c r="K422"/>
      <c r="L422"/>
      <c r="M422"/>
      <c r="N422"/>
      <c r="O422"/>
      <c r="P422"/>
      <c r="Q422"/>
      <c r="R422"/>
    </row>
    <row r="423" spans="1:18" ht="15" x14ac:dyDescent="0.25">
      <c r="A423"/>
      <c r="B423"/>
      <c r="C423"/>
      <c r="D423"/>
      <c r="E423"/>
      <c r="F423"/>
      <c r="G423"/>
      <c r="H423"/>
      <c r="I423"/>
      <c r="J423"/>
      <c r="K423"/>
      <c r="L423"/>
      <c r="M423"/>
      <c r="N423"/>
      <c r="O423"/>
      <c r="P423"/>
      <c r="Q423"/>
      <c r="R423"/>
    </row>
    <row r="424" spans="1:18" ht="15" x14ac:dyDescent="0.25">
      <c r="A424"/>
      <c r="B424"/>
      <c r="C424"/>
      <c r="D424"/>
      <c r="E424"/>
      <c r="F424"/>
      <c r="G424"/>
      <c r="H424"/>
      <c r="I424"/>
      <c r="J424"/>
      <c r="K424"/>
      <c r="L424"/>
      <c r="M424"/>
      <c r="N424"/>
      <c r="O424"/>
      <c r="P424"/>
      <c r="Q424"/>
      <c r="R424"/>
    </row>
    <row r="425" spans="1:18" ht="15" x14ac:dyDescent="0.25">
      <c r="A425"/>
      <c r="B425"/>
      <c r="C425"/>
      <c r="D425"/>
      <c r="E425"/>
      <c r="F425"/>
      <c r="G425"/>
      <c r="H425"/>
      <c r="I425"/>
      <c r="J425"/>
      <c r="K425"/>
      <c r="L425"/>
      <c r="M425"/>
      <c r="N425"/>
      <c r="O425"/>
      <c r="P425"/>
      <c r="Q425"/>
      <c r="R425"/>
    </row>
    <row r="426" spans="1:18" ht="15" x14ac:dyDescent="0.25">
      <c r="A426"/>
      <c r="B426"/>
      <c r="C426"/>
      <c r="D426"/>
      <c r="E426"/>
      <c r="F426"/>
      <c r="G426"/>
      <c r="H426"/>
      <c r="I426"/>
      <c r="J426"/>
      <c r="K426"/>
      <c r="L426"/>
      <c r="M426"/>
      <c r="N426"/>
      <c r="O426"/>
      <c r="P426"/>
      <c r="Q426"/>
      <c r="R426"/>
    </row>
    <row r="427" spans="1:18" ht="15" x14ac:dyDescent="0.25">
      <c r="A427"/>
      <c r="B427"/>
      <c r="C427"/>
      <c r="D427"/>
      <c r="E427"/>
      <c r="F427"/>
      <c r="G427"/>
      <c r="H427"/>
      <c r="I427"/>
      <c r="J427"/>
      <c r="K427"/>
      <c r="L427"/>
      <c r="M427"/>
      <c r="N427"/>
      <c r="O427"/>
      <c r="P427"/>
      <c r="Q427"/>
      <c r="R427"/>
    </row>
    <row r="428" spans="1:18" ht="15" x14ac:dyDescent="0.25">
      <c r="A428"/>
      <c r="B428"/>
      <c r="C428"/>
      <c r="D428"/>
      <c r="E428"/>
      <c r="F428"/>
      <c r="G428"/>
      <c r="H428"/>
      <c r="I428"/>
      <c r="J428"/>
      <c r="K428"/>
      <c r="L428"/>
      <c r="M428"/>
      <c r="N428"/>
      <c r="O428"/>
      <c r="P428"/>
      <c r="Q428"/>
      <c r="R428"/>
    </row>
    <row r="429" spans="1:18" ht="15" x14ac:dyDescent="0.25">
      <c r="A429"/>
      <c r="B429"/>
      <c r="C429"/>
      <c r="D429"/>
      <c r="E429"/>
      <c r="F429"/>
      <c r="G429"/>
      <c r="H429"/>
      <c r="I429"/>
      <c r="J429"/>
      <c r="K429"/>
      <c r="L429"/>
      <c r="M429"/>
      <c r="N429"/>
      <c r="O429"/>
      <c r="P429"/>
      <c r="Q429"/>
      <c r="R429"/>
    </row>
    <row r="430" spans="1:18" ht="15" x14ac:dyDescent="0.25">
      <c r="A430"/>
      <c r="B430"/>
      <c r="C430"/>
      <c r="D430"/>
      <c r="E430"/>
      <c r="F430"/>
      <c r="G430"/>
      <c r="H430"/>
      <c r="I430"/>
      <c r="J430"/>
      <c r="K430"/>
      <c r="L430"/>
      <c r="M430"/>
      <c r="N430"/>
      <c r="O430"/>
      <c r="P430"/>
      <c r="Q430"/>
      <c r="R430"/>
    </row>
    <row r="431" spans="1:18" ht="15" x14ac:dyDescent="0.25">
      <c r="A431"/>
      <c r="B431"/>
      <c r="C431"/>
      <c r="D431"/>
      <c r="E431"/>
      <c r="F431"/>
      <c r="G431"/>
      <c r="H431"/>
      <c r="I431"/>
      <c r="J431"/>
      <c r="K431"/>
      <c r="L431"/>
      <c r="M431"/>
      <c r="N431"/>
      <c r="O431"/>
      <c r="P431"/>
      <c r="Q431"/>
      <c r="R431"/>
    </row>
  </sheetData>
  <mergeCells count="1">
    <mergeCell ref="B1:XFD1"/>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sheetPr>
  <dimension ref="A2:Y256"/>
  <sheetViews>
    <sheetView showGridLines="0" showRowColHeaders="0" tabSelected="1" workbookViewId="0">
      <selection activeCell="B1" sqref="B1"/>
    </sheetView>
  </sheetViews>
  <sheetFormatPr defaultColWidth="9.140625" defaultRowHeight="15.75" x14ac:dyDescent="0.25"/>
  <cols>
    <col min="1" max="1" width="8" style="33" bestFit="1" customWidth="1"/>
    <col min="2" max="2" width="25" style="33" customWidth="1"/>
    <col min="3" max="3" width="6.28515625" style="68" customWidth="1"/>
    <col min="4" max="4" width="2" style="60" customWidth="1"/>
    <col min="5" max="5" width="6.28515625" style="69" customWidth="1"/>
    <col min="6" max="6" width="2" style="60" customWidth="1"/>
    <col min="7" max="7" width="7.7109375" style="67" customWidth="1"/>
    <col min="8" max="8" width="2" style="33" customWidth="1"/>
    <col min="9" max="9" width="7.7109375" style="66" customWidth="1"/>
    <col min="10" max="10" width="12.7109375" style="62" customWidth="1"/>
    <col min="11" max="11" width="10.7109375" style="62" customWidth="1"/>
    <col min="12" max="12" width="42.7109375" style="70" customWidth="1"/>
    <col min="13" max="13" width="9.140625" style="33"/>
    <col min="14" max="14" width="8.7109375" style="33" bestFit="1" customWidth="1"/>
    <col min="15" max="16384" width="9.140625" style="33"/>
  </cols>
  <sheetData>
    <row r="2" spans="1:25" ht="27" customHeight="1" thickBot="1" x14ac:dyDescent="0.3">
      <c r="B2" s="149" t="s">
        <v>442</v>
      </c>
      <c r="C2" s="150"/>
      <c r="D2" s="150"/>
      <c r="E2" s="150"/>
      <c r="F2" s="150"/>
      <c r="G2" s="150"/>
      <c r="H2" s="150"/>
      <c r="I2" s="150"/>
      <c r="J2" s="150"/>
      <c r="K2" s="150"/>
      <c r="L2" s="150"/>
      <c r="N2" s="85" t="s">
        <v>439</v>
      </c>
      <c r="O2" s="150" t="s">
        <v>440</v>
      </c>
      <c r="P2" s="150"/>
      <c r="Q2" s="150"/>
      <c r="R2" s="150"/>
      <c r="S2" s="150"/>
      <c r="T2" s="150"/>
      <c r="U2" s="150"/>
      <c r="V2" s="150"/>
      <c r="W2" s="150"/>
      <c r="X2" s="150"/>
      <c r="Y2" s="150"/>
    </row>
    <row r="3" spans="1:25" ht="15.75" customHeight="1" thickTop="1" x14ac:dyDescent="0.25">
      <c r="A3" s="8"/>
      <c r="B3" s="72" t="s">
        <v>431</v>
      </c>
      <c r="C3" s="151" t="s">
        <v>432</v>
      </c>
      <c r="D3" s="151"/>
      <c r="E3" s="151"/>
      <c r="F3" s="86"/>
      <c r="G3" s="152" t="s">
        <v>433</v>
      </c>
      <c r="H3" s="151"/>
      <c r="I3" s="151"/>
      <c r="J3" s="86" t="s">
        <v>434</v>
      </c>
      <c r="K3" s="86" t="s">
        <v>435</v>
      </c>
      <c r="L3" s="73" t="s">
        <v>430</v>
      </c>
      <c r="M3" s="8"/>
      <c r="N3" s="8"/>
      <c r="O3" s="150"/>
      <c r="P3" s="150"/>
      <c r="Q3" s="150"/>
      <c r="R3" s="150"/>
      <c r="S3" s="150"/>
      <c r="T3" s="150"/>
      <c r="U3" s="150"/>
      <c r="V3" s="150"/>
      <c r="W3" s="150"/>
      <c r="X3" s="150"/>
      <c r="Y3" s="150"/>
    </row>
    <row r="4" spans="1:25" ht="15.75" customHeight="1" x14ac:dyDescent="0.25">
      <c r="A4" s="8"/>
      <c r="B4" s="8" t="str">
        <f>'Summed Data'!$A3</f>
        <v>FFA 20:4</v>
      </c>
      <c r="C4" s="63">
        <f>AVERAGE('Summed Data'!$B$3:$D$3)</f>
        <v>0.19405193456057335</v>
      </c>
      <c r="D4" s="8" t="s">
        <v>416</v>
      </c>
      <c r="E4" s="71">
        <f>_xlfn.STDEV.S('Summed Data'!$B$3:$D$3)</f>
        <v>2.1773733928367355E-2</v>
      </c>
      <c r="F4" s="8"/>
      <c r="G4" s="80" t="str">
        <f>FIXED('consensus values'!$H$4, 1-FLOOR(LOG10('consensus values'!$H$4),1))</f>
        <v>4.7</v>
      </c>
      <c r="H4" s="8" t="s">
        <v>416</v>
      </c>
      <c r="I4" s="82" t="str">
        <f>FIXED('consensus values'!$P$4, 1-FLOOR(LOG10('consensus values'!$P$4),1))</f>
        <v>1.5</v>
      </c>
      <c r="J4" s="10" t="s">
        <v>436</v>
      </c>
      <c r="K4" s="10">
        <v>7</v>
      </c>
      <c r="L4" s="74" t="str">
        <f>IF('Summed Data'!$E$3="","",'Summed Data'!$E$3)</f>
        <v/>
      </c>
      <c r="M4" s="8"/>
      <c r="N4" s="8"/>
      <c r="O4" s="150"/>
      <c r="P4" s="150"/>
      <c r="Q4" s="150"/>
      <c r="R4" s="150"/>
      <c r="S4" s="150"/>
      <c r="T4" s="150"/>
      <c r="U4" s="150"/>
      <c r="V4" s="150"/>
      <c r="W4" s="150"/>
      <c r="X4" s="150"/>
      <c r="Y4" s="150"/>
    </row>
    <row r="5" spans="1:25" ht="15.75" customHeight="1" x14ac:dyDescent="0.25">
      <c r="A5" s="8"/>
      <c r="B5" s="8" t="str">
        <f>'Summed Data'!$A4</f>
        <v>FFA 20:5</v>
      </c>
      <c r="C5" s="63">
        <f>AVERAGE('Summed Data'!$B$4:$D$4)</f>
        <v>1.2048550854856996E-2</v>
      </c>
      <c r="D5" s="8" t="s">
        <v>416</v>
      </c>
      <c r="E5" s="71">
        <f>_xlfn.STDEV.S('Summed Data'!$B$4:$D$4)</f>
        <v>3.5577380974804009E-3</v>
      </c>
      <c r="F5" s="8"/>
      <c r="G5" s="80" t="str">
        <f>FIXED('consensus values'!$H$5, 1-FLOOR(LOG10('consensus values'!$H$5),1))</f>
        <v>0.42</v>
      </c>
      <c r="H5" s="8" t="s">
        <v>416</v>
      </c>
      <c r="I5" s="82" t="str">
        <f>FIXED('consensus values'!$P$5, 1-FLOOR(LOG10('consensus values'!$P$5),1))</f>
        <v>0.056</v>
      </c>
      <c r="J5" s="10" t="s">
        <v>436</v>
      </c>
      <c r="K5" s="10">
        <v>7</v>
      </c>
      <c r="L5" s="74" t="str">
        <f>IF('Summed Data'!$E$4="","",'Summed Data'!$E$4)</f>
        <v/>
      </c>
      <c r="M5" s="8"/>
      <c r="N5" s="8"/>
      <c r="O5" s="150"/>
      <c r="P5" s="150"/>
      <c r="Q5" s="150"/>
      <c r="R5" s="150"/>
      <c r="S5" s="150"/>
      <c r="T5" s="150"/>
      <c r="U5" s="150"/>
      <c r="V5" s="150"/>
      <c r="W5" s="150"/>
      <c r="X5" s="150"/>
      <c r="Y5" s="150"/>
    </row>
    <row r="6" spans="1:25" ht="15.75" customHeight="1" x14ac:dyDescent="0.25">
      <c r="A6" s="8"/>
      <c r="B6" s="8" t="str">
        <f>'Summed Data'!$A5</f>
        <v>FFA 22:6</v>
      </c>
      <c r="C6" s="63">
        <f>AVERAGE('Summed Data'!$B$5:$D$5)</f>
        <v>0.25426262846731201</v>
      </c>
      <c r="D6" s="8" t="s">
        <v>416</v>
      </c>
      <c r="E6" s="71">
        <f>_xlfn.STDEV.S('Summed Data'!$B$5:$D$5)</f>
        <v>9.5768856248626081E-3</v>
      </c>
      <c r="F6" s="8"/>
      <c r="G6" s="80" t="str">
        <f>FIXED('consensus values'!$H$6, 1-FLOOR(LOG10('consensus values'!$H$6),1))</f>
        <v>1.5</v>
      </c>
      <c r="H6" s="8" t="s">
        <v>416</v>
      </c>
      <c r="I6" s="82" t="str">
        <f>FIXED('consensus values'!$P$6, 1-FLOOR(LOG10('consensus values'!$P$6),1))</f>
        <v>0.17</v>
      </c>
      <c r="J6" s="10" t="s">
        <v>436</v>
      </c>
      <c r="K6" s="10">
        <v>8</v>
      </c>
      <c r="L6" s="74" t="str">
        <f>IF('Summed Data'!$E$5="","",'Summed Data'!$E$5)</f>
        <v/>
      </c>
      <c r="M6" s="8"/>
      <c r="N6" s="8"/>
      <c r="O6" s="8"/>
      <c r="P6" s="8"/>
      <c r="Q6" s="8"/>
      <c r="R6" s="8"/>
      <c r="S6" s="8"/>
      <c r="T6" s="8"/>
      <c r="U6" s="8"/>
      <c r="V6" s="8"/>
      <c r="W6" s="8"/>
      <c r="X6" s="8"/>
      <c r="Y6" s="8"/>
    </row>
    <row r="7" spans="1:25" ht="15.75" customHeight="1" x14ac:dyDescent="0.25">
      <c r="A7" s="8"/>
      <c r="B7" s="8" t="str">
        <f>'Summed Data'!$A6</f>
        <v>LPC 14:0</v>
      </c>
      <c r="C7" s="63">
        <f>AVERAGE('Summed Data'!$B$6:$D$6)</f>
        <v>0.32266180549955137</v>
      </c>
      <c r="D7" s="8" t="s">
        <v>416</v>
      </c>
      <c r="E7" s="71">
        <f>_xlfn.STDEV.S('Summed Data'!$B$6:$D$6)</f>
        <v>4.2753684699456942E-3</v>
      </c>
      <c r="F7" s="8"/>
      <c r="G7" s="80" t="str">
        <f>FIXED('consensus values'!$H$57, 1-FLOOR(LOG10('consensus values'!$H$57),1))</f>
        <v>1.0</v>
      </c>
      <c r="H7" s="8" t="s">
        <v>416</v>
      </c>
      <c r="I7" s="82" t="str">
        <f>FIXED('consensus values'!$P$57, 1-FLOOR(LOG10('consensus values'!$P$57),1))</f>
        <v>0.20</v>
      </c>
      <c r="J7" s="10" t="s">
        <v>436</v>
      </c>
      <c r="K7" s="10">
        <v>16</v>
      </c>
      <c r="L7" s="74" t="str">
        <f>IF('Summed Data'!$E$6="","",'Summed Data'!$E$6)</f>
        <v/>
      </c>
      <c r="M7" s="8"/>
      <c r="N7" s="8"/>
      <c r="O7" s="8"/>
      <c r="P7" s="8"/>
      <c r="Q7" s="8"/>
      <c r="R7" s="8"/>
      <c r="S7" s="8"/>
      <c r="T7" s="8"/>
      <c r="U7" s="8"/>
      <c r="V7" s="8"/>
      <c r="W7" s="8"/>
      <c r="X7" s="8"/>
      <c r="Y7" s="8"/>
    </row>
    <row r="8" spans="1:25" ht="15.75" customHeight="1" x14ac:dyDescent="0.25">
      <c r="A8" s="8"/>
      <c r="B8" s="8" t="str">
        <f>'Summed Data'!$A7</f>
        <v>LPC 15:0</v>
      </c>
      <c r="C8" s="63">
        <f>AVERAGE('Summed Data'!$B$7:$D$7)</f>
        <v>0.225505409946717</v>
      </c>
      <c r="D8" s="8" t="s">
        <v>416</v>
      </c>
      <c r="E8" s="71">
        <f>_xlfn.STDEV.S('Summed Data'!$B$7:$D$7)</f>
        <v>2.9082624464384619E-2</v>
      </c>
      <c r="F8" s="8"/>
      <c r="G8" s="80" t="str">
        <f>FIXED('consensus values'!$H$58, 1-FLOOR(LOG10('consensus values'!$H$58),1))</f>
        <v>0.52</v>
      </c>
      <c r="H8" s="8" t="s">
        <v>416</v>
      </c>
      <c r="I8" s="82" t="str">
        <f>FIXED('consensus values'!$P$58, 1-FLOOR(LOG10('consensus values'!$P$58),1))</f>
        <v>0.11</v>
      </c>
      <c r="J8" s="10" t="s">
        <v>436</v>
      </c>
      <c r="K8" s="10">
        <v>9</v>
      </c>
      <c r="L8" s="74" t="str">
        <f>IF('Summed Data'!$E$7="","",'Summed Data'!$E$7)</f>
        <v/>
      </c>
      <c r="M8" s="8"/>
      <c r="N8" s="8"/>
      <c r="O8" s="8"/>
      <c r="P8" s="8"/>
      <c r="Q8" s="8"/>
      <c r="R8" s="8"/>
      <c r="S8" s="8"/>
      <c r="T8" s="8"/>
      <c r="U8" s="8"/>
      <c r="V8" s="8"/>
      <c r="W8" s="8"/>
      <c r="X8" s="8"/>
      <c r="Y8" s="8"/>
    </row>
    <row r="9" spans="1:25" ht="15.75" customHeight="1" x14ac:dyDescent="0.25">
      <c r="A9" s="8"/>
      <c r="B9" s="8" t="str">
        <f>'Summed Data'!$A8</f>
        <v>LPC 16:0</v>
      </c>
      <c r="C9" s="63">
        <f>AVERAGE('Summed Data'!$B$8:$D$8)</f>
        <v>48.854278255380997</v>
      </c>
      <c r="D9" s="8" t="s">
        <v>416</v>
      </c>
      <c r="E9" s="71">
        <f>_xlfn.STDEV.S('Summed Data'!$B$8:$D$8)</f>
        <v>0.76796268449943528</v>
      </c>
      <c r="F9" s="8"/>
      <c r="G9" s="80" t="str">
        <f>FIXED('consensus values'!$H$59, 1-FLOOR(LOG10('consensus values'!$H$59),1))</f>
        <v>73</v>
      </c>
      <c r="H9" s="8" t="s">
        <v>416</v>
      </c>
      <c r="I9" s="82" t="str">
        <f>FIXED('consensus values'!$P$59, 1-FLOOR(LOG10('consensus values'!$P$59),1))</f>
        <v>11</v>
      </c>
      <c r="J9" s="10" t="s">
        <v>436</v>
      </c>
      <c r="K9" s="10">
        <v>20</v>
      </c>
      <c r="L9" s="74" t="str">
        <f>IF('Summed Data'!$E$8="","",'Summed Data'!$E$8)</f>
        <v/>
      </c>
      <c r="M9" s="8"/>
      <c r="N9" s="8"/>
      <c r="O9" s="8"/>
      <c r="P9" s="8"/>
      <c r="Q9" s="8"/>
      <c r="R9" s="8"/>
      <c r="S9" s="8"/>
      <c r="T9" s="8"/>
      <c r="U9" s="8"/>
      <c r="V9" s="8"/>
      <c r="W9" s="8"/>
      <c r="X9" s="8"/>
      <c r="Y9" s="8"/>
    </row>
    <row r="10" spans="1:25" ht="15.75" customHeight="1" x14ac:dyDescent="0.25">
      <c r="A10" s="8"/>
      <c r="B10" s="8" t="str">
        <f>'Summed Data'!$A9</f>
        <v>LPC O-16:0</v>
      </c>
      <c r="C10" s="63">
        <f>AVERAGE('Summed Data'!$B$9:$D$9)</f>
        <v>0.29044627239048199</v>
      </c>
      <c r="D10" s="8" t="s">
        <v>416</v>
      </c>
      <c r="E10" s="71">
        <f>_xlfn.STDEV.S('Summed Data'!$B$9:$D$9)</f>
        <v>1.057589699623307E-2</v>
      </c>
      <c r="F10" s="8"/>
      <c r="G10" s="80" t="str">
        <f>FIXED('consensus values'!$H$60, 1-FLOOR(LOG10('consensus values'!$H$60),1))</f>
        <v>0.55</v>
      </c>
      <c r="H10" s="8" t="s">
        <v>416</v>
      </c>
      <c r="I10" s="82" t="str">
        <f>FIXED('consensus values'!$P$60, 1-FLOOR(LOG10('consensus values'!$P$60),1))</f>
        <v>0.16</v>
      </c>
      <c r="J10" s="10" t="s">
        <v>436</v>
      </c>
      <c r="K10" s="10">
        <v>10</v>
      </c>
      <c r="L10" s="74" t="str">
        <f>IF('Summed Data'!$E$9="","",'Summed Data'!$E$9)</f>
        <v/>
      </c>
      <c r="M10" s="8"/>
      <c r="N10" s="8"/>
      <c r="O10" s="8"/>
      <c r="P10" s="8"/>
      <c r="Q10" s="8"/>
      <c r="R10" s="8"/>
      <c r="S10" s="8"/>
      <c r="T10" s="8"/>
      <c r="U10" s="8"/>
      <c r="V10" s="8"/>
      <c r="W10" s="8"/>
      <c r="X10" s="8"/>
      <c r="Y10" s="8"/>
    </row>
    <row r="11" spans="1:25" ht="15.75" customHeight="1" x14ac:dyDescent="0.25">
      <c r="A11" s="8"/>
      <c r="B11" s="8" t="str">
        <f>'Summed Data'!$A10</f>
        <v>LPC P-16:0</v>
      </c>
      <c r="C11" s="63">
        <f>AVERAGE('Summed Data'!$B$10:$D$10)</f>
        <v>0.13064208690847268</v>
      </c>
      <c r="D11" s="8" t="s">
        <v>416</v>
      </c>
      <c r="E11" s="71">
        <f>_xlfn.STDEV.S('Summed Data'!$B$10:$D$10)</f>
        <v>6.4859459625950357E-3</v>
      </c>
      <c r="F11" s="8"/>
      <c r="G11" s="80" t="str">
        <f>FIXED('consensus values'!$H$61, 1-FLOOR(LOG10('consensus values'!$H$61),1))</f>
        <v>0.46</v>
      </c>
      <c r="H11" s="8" t="s">
        <v>416</v>
      </c>
      <c r="I11" s="82" t="str">
        <f>FIXED('consensus values'!$P$61, 1-FLOOR(LOG10('consensus values'!$P$61),1))</f>
        <v>0.13</v>
      </c>
      <c r="J11" s="10" t="s">
        <v>436</v>
      </c>
      <c r="K11" s="10">
        <v>8</v>
      </c>
      <c r="L11" s="74" t="str">
        <f>IF('Summed Data'!$E$10="","",'Summed Data'!$E$10)</f>
        <v/>
      </c>
      <c r="M11" s="8"/>
      <c r="N11" s="8"/>
      <c r="O11" s="8"/>
      <c r="P11" s="8"/>
      <c r="Q11" s="8"/>
      <c r="R11" s="8"/>
      <c r="S11" s="8"/>
      <c r="T11" s="8"/>
      <c r="U11" s="8"/>
      <c r="V11" s="8"/>
      <c r="W11" s="8"/>
      <c r="X11" s="8"/>
      <c r="Y11" s="8"/>
    </row>
    <row r="12" spans="1:25" ht="15.75" customHeight="1" x14ac:dyDescent="0.25">
      <c r="A12" s="8"/>
      <c r="B12" s="8" t="str">
        <f>'Summed Data'!$A11</f>
        <v>LPC 16:1</v>
      </c>
      <c r="C12" s="63">
        <f>AVERAGE('Summed Data'!$B$11:$D$11)</f>
        <v>1.3112183030840801</v>
      </c>
      <c r="D12" s="8" t="s">
        <v>416</v>
      </c>
      <c r="E12" s="71">
        <f>_xlfn.STDEV.S('Summed Data'!$B$11:$D$11)</f>
        <v>3.5857664445978668E-2</v>
      </c>
      <c r="F12" s="8"/>
      <c r="G12" s="80" t="str">
        <f>FIXED('consensus values'!$H$62, 1-FLOOR(LOG10('consensus values'!$H$62),1))</f>
        <v>2.4</v>
      </c>
      <c r="H12" s="8" t="s">
        <v>416</v>
      </c>
      <c r="I12" s="82" t="str">
        <f>FIXED('consensus values'!$P$62, 1-FLOOR(LOG10('consensus values'!$P$62),1))</f>
        <v>0.35</v>
      </c>
      <c r="J12" s="10" t="s">
        <v>436</v>
      </c>
      <c r="K12" s="10">
        <v>19</v>
      </c>
      <c r="L12" s="74" t="str">
        <f>IF('Summed Data'!$E$11="","",'Summed Data'!$E$11)</f>
        <v/>
      </c>
      <c r="M12" s="8"/>
      <c r="N12" s="8"/>
      <c r="O12" s="8"/>
      <c r="P12" s="8"/>
      <c r="Q12" s="8"/>
      <c r="R12" s="8"/>
      <c r="S12" s="8"/>
      <c r="T12" s="8"/>
      <c r="U12" s="8"/>
      <c r="V12" s="8"/>
      <c r="W12" s="8"/>
      <c r="X12" s="8"/>
      <c r="Y12" s="8"/>
    </row>
    <row r="13" spans="1:25" ht="15.75" customHeight="1" x14ac:dyDescent="0.25">
      <c r="A13" s="8"/>
      <c r="B13" s="8" t="str">
        <f>'Summed Data'!$A12</f>
        <v>LPC 17:0</v>
      </c>
      <c r="C13" s="63">
        <f>AVERAGE('Summed Data'!$B$12:$D$12)</f>
        <v>0.4856973338336627</v>
      </c>
      <c r="D13" s="8" t="s">
        <v>416</v>
      </c>
      <c r="E13" s="71">
        <f>_xlfn.STDEV.S('Summed Data'!$B$12:$D$12)</f>
        <v>2.9045749650356448E-2</v>
      </c>
      <c r="F13" s="8"/>
      <c r="G13" s="80" t="str">
        <f>FIXED('consensus values'!$H$63, 1-FLOOR(LOG10('consensus values'!$H$63),1))</f>
        <v>1.4</v>
      </c>
      <c r="H13" s="8" t="s">
        <v>416</v>
      </c>
      <c r="I13" s="82" t="str">
        <f>FIXED('consensus values'!$P$63, 1-FLOOR(LOG10('consensus values'!$P$63),1))</f>
        <v>0.24</v>
      </c>
      <c r="J13" s="10" t="s">
        <v>436</v>
      </c>
      <c r="K13" s="10">
        <v>6</v>
      </c>
      <c r="L13" s="74" t="str">
        <f>IF('Summed Data'!$E$12="","",'Summed Data'!$E$12)</f>
        <v/>
      </c>
      <c r="M13" s="8"/>
      <c r="N13" s="8"/>
      <c r="O13" s="8"/>
      <c r="P13" s="8"/>
      <c r="Q13" s="8"/>
      <c r="R13" s="8"/>
      <c r="S13" s="8"/>
      <c r="T13" s="8"/>
      <c r="U13" s="8"/>
      <c r="V13" s="8"/>
      <c r="W13" s="8"/>
      <c r="X13" s="8"/>
      <c r="Y13" s="8"/>
    </row>
    <row r="14" spans="1:25" ht="15.75" customHeight="1" x14ac:dyDescent="0.25">
      <c r="A14" s="8"/>
      <c r="B14" s="8" t="str">
        <f>'Summed Data'!$A13</f>
        <v>LPC 17:1</v>
      </c>
      <c r="C14" s="63">
        <f>AVERAGE('Summed Data'!$B$13:$D$13)</f>
        <v>7.9753625518535778E-2</v>
      </c>
      <c r="D14" s="8" t="s">
        <v>416</v>
      </c>
      <c r="E14" s="71">
        <f>_xlfn.STDEV.S('Summed Data'!$B$13:$D$13)</f>
        <v>1.2714358156897277E-2</v>
      </c>
      <c r="F14" s="8"/>
      <c r="G14" s="80" t="str">
        <f>FIXED('consensus values'!$H$64, 1-FLOOR(LOG10('consensus values'!$H$64),1))</f>
        <v>0.25</v>
      </c>
      <c r="H14" s="8" t="s">
        <v>416</v>
      </c>
      <c r="I14" s="82" t="str">
        <f>FIXED('consensus values'!$P$64, 1-FLOOR(LOG10('consensus values'!$P$64),1))</f>
        <v>0.071</v>
      </c>
      <c r="J14" s="10" t="s">
        <v>436</v>
      </c>
      <c r="K14" s="10">
        <v>6</v>
      </c>
      <c r="L14" s="74" t="str">
        <f>IF('Summed Data'!$E$13="","",'Summed Data'!$E$13)</f>
        <v/>
      </c>
      <c r="M14" s="8"/>
      <c r="N14" s="8"/>
      <c r="O14" s="8"/>
      <c r="P14" s="8"/>
      <c r="Q14" s="8"/>
      <c r="R14" s="8"/>
      <c r="S14" s="8"/>
      <c r="T14" s="8"/>
      <c r="U14" s="8"/>
      <c r="V14" s="8"/>
      <c r="W14" s="8"/>
      <c r="X14" s="8"/>
      <c r="Y14" s="8"/>
    </row>
    <row r="15" spans="1:25" s="32" customFormat="1" ht="15.75" customHeight="1" x14ac:dyDescent="0.25">
      <c r="A15" s="8"/>
      <c r="B15" s="8" t="str">
        <f>'Summed Data'!$A14</f>
        <v>LPC 18:0</v>
      </c>
      <c r="C15" s="63">
        <f>AVERAGE('Summed Data'!$B$14:$D$14)</f>
        <v>19.680008417024634</v>
      </c>
      <c r="D15" s="8" t="s">
        <v>416</v>
      </c>
      <c r="E15" s="71">
        <f>_xlfn.STDEV.S('Summed Data'!$B$14:$D$14)</f>
        <v>0.95730485651709818</v>
      </c>
      <c r="F15" s="8"/>
      <c r="G15" s="80" t="str">
        <f>FIXED('consensus values'!$H$65, 1-FLOOR(LOG10('consensus values'!$H$65),1))</f>
        <v>27</v>
      </c>
      <c r="H15" s="8" t="s">
        <v>416</v>
      </c>
      <c r="I15" s="82" t="str">
        <f>FIXED('consensus values'!$P$65, 1-FLOOR(LOG10('consensus values'!$P$65),1))</f>
        <v>3.3</v>
      </c>
      <c r="J15" s="10" t="s">
        <v>436</v>
      </c>
      <c r="K15" s="10">
        <v>20</v>
      </c>
      <c r="L15" s="74" t="str">
        <f>IF('Summed Data'!$E$14="","",'Summed Data'!$E$14)</f>
        <v/>
      </c>
      <c r="M15" s="8"/>
      <c r="N15" s="8"/>
      <c r="O15" s="8"/>
      <c r="P15" s="8"/>
      <c r="Q15" s="8"/>
      <c r="R15" s="8"/>
      <c r="S15" s="8"/>
      <c r="T15" s="8"/>
      <c r="U15" s="8"/>
      <c r="V15" s="8"/>
      <c r="W15" s="8"/>
      <c r="X15" s="8"/>
      <c r="Y15" s="8"/>
    </row>
    <row r="16" spans="1:25" s="61" customFormat="1" ht="15.75" customHeight="1" x14ac:dyDescent="0.25">
      <c r="A16" s="8"/>
      <c r="B16" s="8" t="str">
        <f>'Summed Data'!$A15</f>
        <v>LPC 18:1</v>
      </c>
      <c r="C16" s="63">
        <f>AVERAGE('Summed Data'!$B$15:$D$15)</f>
        <v>8.884638771084397</v>
      </c>
      <c r="D16" s="8" t="s">
        <v>416</v>
      </c>
      <c r="E16" s="71">
        <f>_xlfn.STDEV.S('Summed Data'!$B$15:$D$15)</f>
        <v>0.2144192061274231</v>
      </c>
      <c r="F16" s="8"/>
      <c r="G16" s="80" t="str">
        <f>FIXED('consensus values'!$H$67, 1-FLOOR(LOG10('consensus values'!$H$67),1))</f>
        <v>18</v>
      </c>
      <c r="H16" s="8" t="s">
        <v>416</v>
      </c>
      <c r="I16" s="82" t="str">
        <f>FIXED('consensus values'!$P$67, 1-FLOOR(LOG10('consensus values'!$P$67),1))</f>
        <v>2.3</v>
      </c>
      <c r="J16" s="10" t="s">
        <v>436</v>
      </c>
      <c r="K16" s="10">
        <v>19</v>
      </c>
      <c r="L16" s="74" t="str">
        <f>IF('Summed Data'!$E$15="","",'Summed Data'!$E$15)</f>
        <v/>
      </c>
      <c r="M16" s="8"/>
      <c r="N16" s="8"/>
      <c r="O16" s="8"/>
      <c r="P16" s="8"/>
      <c r="Q16" s="8"/>
      <c r="R16" s="8"/>
      <c r="S16" s="8"/>
      <c r="T16" s="8"/>
      <c r="U16" s="8"/>
      <c r="V16" s="8"/>
      <c r="W16" s="8"/>
      <c r="X16" s="8"/>
      <c r="Y16" s="8"/>
    </row>
    <row r="17" spans="1:25" ht="15.75" customHeight="1" x14ac:dyDescent="0.25">
      <c r="A17" s="8"/>
      <c r="B17" s="8" t="str">
        <f>'Summed Data'!$A16</f>
        <v>LPC 18:2</v>
      </c>
      <c r="C17" s="63">
        <f>AVERAGE('Summed Data'!$B$16:$D$16)</f>
        <v>16.021637440696299</v>
      </c>
      <c r="D17" s="8" t="s">
        <v>416</v>
      </c>
      <c r="E17" s="71">
        <f>_xlfn.STDEV.S('Summed Data'!$B$16:$D$16)</f>
        <v>0.27505095176835181</v>
      </c>
      <c r="F17" s="8"/>
      <c r="G17" s="80" t="str">
        <f>FIXED('consensus values'!$H$68, 1-FLOOR(LOG10('consensus values'!$H$68),1))</f>
        <v>22</v>
      </c>
      <c r="H17" s="8" t="s">
        <v>416</v>
      </c>
      <c r="I17" s="82" t="str">
        <f>FIXED('consensus values'!$P$68, 1-FLOOR(LOG10('consensus values'!$P$68),1))</f>
        <v>2.9</v>
      </c>
      <c r="J17" s="10" t="s">
        <v>436</v>
      </c>
      <c r="K17" s="10">
        <v>19</v>
      </c>
      <c r="L17" s="74" t="str">
        <f>IF('Summed Data'!$E$16="","",'Summed Data'!$E$16)</f>
        <v/>
      </c>
      <c r="M17" s="8"/>
      <c r="N17" s="8"/>
      <c r="O17" s="8"/>
      <c r="P17" s="8"/>
      <c r="Q17" s="8"/>
      <c r="R17" s="8"/>
      <c r="S17" s="8"/>
      <c r="T17" s="8"/>
      <c r="U17" s="8"/>
      <c r="V17" s="8"/>
      <c r="W17" s="8"/>
      <c r="X17" s="8"/>
      <c r="Y17" s="8"/>
    </row>
    <row r="18" spans="1:25" ht="15.75" customHeight="1" x14ac:dyDescent="0.25">
      <c r="A18" s="8"/>
      <c r="B18" s="8" t="str">
        <f>'Summed Data'!$A17</f>
        <v>LPC 20:0</v>
      </c>
      <c r="C18" s="63">
        <f>AVERAGE('Summed Data'!$B$17:$D$17)</f>
        <v>6.5040685341417798E-2</v>
      </c>
      <c r="D18" s="8" t="s">
        <v>416</v>
      </c>
      <c r="E18" s="71">
        <f>_xlfn.STDEV.S('Summed Data'!$B$17:$D$17)</f>
        <v>2.7981840588458501E-3</v>
      </c>
      <c r="F18" s="8"/>
      <c r="G18" s="80" t="str">
        <f>FIXED('consensus values'!$H$70, 1-FLOOR(LOG10('consensus values'!$H$70),1))</f>
        <v>0.10</v>
      </c>
      <c r="H18" s="8" t="s">
        <v>416</v>
      </c>
      <c r="I18" s="82" t="str">
        <f>FIXED('consensus values'!$P$70, 1-FLOOR(LOG10('consensus values'!$P$70),1))</f>
        <v>0.034</v>
      </c>
      <c r="J18" s="10" t="s">
        <v>436</v>
      </c>
      <c r="K18" s="10">
        <v>7</v>
      </c>
      <c r="L18" s="74" t="str">
        <f>IF('Summed Data'!$E$17="","",'Summed Data'!$E$17)</f>
        <v/>
      </c>
      <c r="M18" s="8"/>
      <c r="N18" s="8"/>
      <c r="O18" s="8"/>
      <c r="P18" s="8"/>
      <c r="Q18" s="8"/>
      <c r="R18" s="8"/>
      <c r="S18" s="8"/>
      <c r="T18" s="8"/>
      <c r="U18" s="8"/>
      <c r="V18" s="8"/>
      <c r="W18" s="8"/>
      <c r="X18" s="8"/>
      <c r="Y18" s="8"/>
    </row>
    <row r="19" spans="1:25" ht="15.75" customHeight="1" x14ac:dyDescent="0.25">
      <c r="A19" s="8"/>
      <c r="B19" s="8" t="str">
        <f>'Summed Data'!$A18</f>
        <v>LPC 20:1</v>
      </c>
      <c r="C19" s="63">
        <f>AVERAGE('Summed Data'!$B$18:$D$18)</f>
        <v>0.11959361553029964</v>
      </c>
      <c r="D19" s="8" t="s">
        <v>416</v>
      </c>
      <c r="E19" s="71">
        <f>_xlfn.STDEV.S('Summed Data'!$B$18:$D$18)</f>
        <v>2.5172400408768059E-2</v>
      </c>
      <c r="F19" s="8"/>
      <c r="G19" s="80" t="str">
        <f>FIXED('consensus values'!$H$71, 1-FLOOR(LOG10('consensus values'!$H$71),1))</f>
        <v>0.19</v>
      </c>
      <c r="H19" s="8" t="s">
        <v>416</v>
      </c>
      <c r="I19" s="82" t="str">
        <f>FIXED('consensus values'!$P$71, 1-FLOOR(LOG10('consensus values'!$P$71),1))</f>
        <v>0.024</v>
      </c>
      <c r="J19" s="10" t="s">
        <v>436</v>
      </c>
      <c r="K19" s="10">
        <v>13</v>
      </c>
      <c r="L19" s="74" t="str">
        <f>IF('Summed Data'!$E$18="","",'Summed Data'!$E$18)</f>
        <v/>
      </c>
      <c r="M19" s="8"/>
      <c r="N19" s="8"/>
      <c r="O19" s="8"/>
      <c r="P19" s="8"/>
      <c r="Q19" s="8"/>
      <c r="R19" s="8"/>
      <c r="S19" s="8"/>
      <c r="T19" s="8"/>
      <c r="U19" s="8"/>
      <c r="V19" s="8"/>
      <c r="W19" s="8"/>
      <c r="X19" s="8"/>
      <c r="Y19" s="8"/>
    </row>
    <row r="20" spans="1:25" ht="15.75" customHeight="1" x14ac:dyDescent="0.25">
      <c r="A20" s="8"/>
      <c r="B20" s="8" t="str">
        <f>'Summed Data'!$A19</f>
        <v>LPC 20:2</v>
      </c>
      <c r="C20" s="63">
        <f>AVERAGE('Summed Data'!$B$19:$D$19)</f>
        <v>0.13044063762912231</v>
      </c>
      <c r="D20" s="8" t="s">
        <v>416</v>
      </c>
      <c r="E20" s="71">
        <f>_xlfn.STDEV.S('Summed Data'!$B$19:$D$19)</f>
        <v>3.8927423145703765E-3</v>
      </c>
      <c r="F20" s="8"/>
      <c r="G20" s="80" t="str">
        <f>FIXED('consensus values'!$H$72, 1-FLOOR(LOG10('consensus values'!$H$72),1))</f>
        <v>0.23</v>
      </c>
      <c r="H20" s="8" t="s">
        <v>416</v>
      </c>
      <c r="I20" s="82" t="str">
        <f>FIXED('consensus values'!$P$72, 1-FLOOR(LOG10('consensus values'!$P$72),1))</f>
        <v>0.044</v>
      </c>
      <c r="J20" s="10" t="s">
        <v>436</v>
      </c>
      <c r="K20" s="10">
        <v>9</v>
      </c>
      <c r="L20" s="74" t="str">
        <f>IF('Summed Data'!$E$19="","",'Summed Data'!$E$19)</f>
        <v/>
      </c>
      <c r="M20" s="8"/>
      <c r="N20" s="8"/>
      <c r="O20" s="8"/>
      <c r="P20" s="8"/>
      <c r="Q20" s="8"/>
      <c r="R20" s="8"/>
      <c r="S20" s="8"/>
      <c r="T20" s="8"/>
      <c r="U20" s="8"/>
      <c r="V20" s="8"/>
      <c r="W20" s="8"/>
      <c r="X20" s="8"/>
      <c r="Y20" s="8"/>
    </row>
    <row r="21" spans="1:25" ht="15.75" customHeight="1" x14ac:dyDescent="0.25">
      <c r="A21" s="8"/>
      <c r="B21" s="8" t="str">
        <f>'Summed Data'!$A20</f>
        <v>LPC 20:3</v>
      </c>
      <c r="C21" s="63">
        <f>AVERAGE('Summed Data'!$B$20:$D$20)</f>
        <v>1.0136848449036135</v>
      </c>
      <c r="D21" s="8" t="s">
        <v>416</v>
      </c>
      <c r="E21" s="71">
        <f>_xlfn.STDEV.S('Summed Data'!$B$20:$D$20)</f>
        <v>6.8472795549818513E-2</v>
      </c>
      <c r="F21" s="8"/>
      <c r="G21" s="80" t="str">
        <f>FIXED('consensus values'!$H$73, 1-FLOOR(LOG10('consensus values'!$H$73),1))</f>
        <v>1.8</v>
      </c>
      <c r="H21" s="8" t="s">
        <v>416</v>
      </c>
      <c r="I21" s="82" t="str">
        <f>FIXED('consensus values'!$P$73, 1-FLOOR(LOG10('consensus values'!$P$73),1))</f>
        <v>0.26</v>
      </c>
      <c r="J21" s="10" t="s">
        <v>436</v>
      </c>
      <c r="K21" s="10">
        <v>18</v>
      </c>
      <c r="L21" s="74" t="str">
        <f>IF('Summed Data'!$E$20="","",'Summed Data'!$E$20)</f>
        <v/>
      </c>
      <c r="M21" s="8"/>
      <c r="N21" s="8"/>
      <c r="O21" s="8"/>
      <c r="P21" s="8"/>
      <c r="Q21" s="8"/>
      <c r="R21" s="8"/>
      <c r="S21" s="8"/>
      <c r="T21" s="8"/>
      <c r="U21" s="8"/>
      <c r="V21" s="8"/>
      <c r="W21" s="8"/>
      <c r="X21" s="8"/>
      <c r="Y21" s="8"/>
    </row>
    <row r="22" spans="1:25" ht="15.75" customHeight="1" x14ac:dyDescent="0.25">
      <c r="A22" s="8"/>
      <c r="B22" s="8" t="str">
        <f>'Summed Data'!$A21</f>
        <v>LPC 20:4</v>
      </c>
      <c r="C22" s="63">
        <f>AVERAGE('Summed Data'!$B$21:$D$21)</f>
        <v>4.6849541517760764</v>
      </c>
      <c r="D22" s="8" t="s">
        <v>416</v>
      </c>
      <c r="E22" s="71">
        <f>_xlfn.STDEV.S('Summed Data'!$B$21:$D$21)</f>
        <v>0.15067686984115408</v>
      </c>
      <c r="F22" s="8"/>
      <c r="G22" s="80" t="str">
        <f>FIXED('consensus values'!$H$74, 1-FLOOR(LOG10('consensus values'!$H$74),1))</f>
        <v>6.0</v>
      </c>
      <c r="H22" s="8" t="s">
        <v>416</v>
      </c>
      <c r="I22" s="82" t="str">
        <f>FIXED('consensus values'!$P$74, 1-FLOOR(LOG10('consensus values'!$P$74),1))</f>
        <v>0.60</v>
      </c>
      <c r="J22" s="10" t="s">
        <v>436</v>
      </c>
      <c r="K22" s="10">
        <v>20</v>
      </c>
      <c r="L22" s="74" t="str">
        <f>IF('Summed Data'!$E$21="","",'Summed Data'!$E$21)</f>
        <v/>
      </c>
      <c r="M22" s="8"/>
      <c r="N22" s="8"/>
      <c r="O22" s="8"/>
      <c r="P22" s="8"/>
      <c r="Q22" s="8"/>
      <c r="R22" s="8"/>
      <c r="S22" s="8"/>
      <c r="T22" s="8"/>
      <c r="U22" s="8"/>
      <c r="V22" s="8"/>
      <c r="W22" s="8"/>
      <c r="X22" s="8"/>
      <c r="Y22" s="8"/>
    </row>
    <row r="23" spans="1:25" ht="15.75" customHeight="1" x14ac:dyDescent="0.25">
      <c r="A23" s="8"/>
      <c r="B23" s="8" t="str">
        <f>'Summed Data'!$A22</f>
        <v>LPC 20:5</v>
      </c>
      <c r="C23" s="63">
        <f>AVERAGE('Summed Data'!$B$22:$D$22)</f>
        <v>0.189604749520768</v>
      </c>
      <c r="D23" s="8" t="s">
        <v>416</v>
      </c>
      <c r="E23" s="71">
        <f>_xlfn.STDEV.S('Summed Data'!$B$22:$D$22)</f>
        <v>3.1383330896167486E-3</v>
      </c>
      <c r="F23" s="8"/>
      <c r="G23" s="80" t="str">
        <f>FIXED('consensus values'!$H$75, 1-FLOOR(LOG10('consensus values'!$H$75),1))</f>
        <v>0.33</v>
      </c>
      <c r="H23" s="8" t="s">
        <v>416</v>
      </c>
      <c r="I23" s="82" t="str">
        <f>FIXED('consensus values'!$P$75, 1-FLOOR(LOG10('consensus values'!$P$75),1))</f>
        <v>0.092</v>
      </c>
      <c r="J23" s="10" t="s">
        <v>436</v>
      </c>
      <c r="K23" s="10">
        <v>15</v>
      </c>
      <c r="L23" s="74" t="str">
        <f>IF('Summed Data'!$E$22="","",'Summed Data'!$E$22)</f>
        <v/>
      </c>
      <c r="M23" s="8"/>
      <c r="N23" s="8"/>
      <c r="O23" s="8"/>
      <c r="P23" s="8"/>
      <c r="Q23" s="8"/>
      <c r="R23" s="8"/>
      <c r="S23" s="8"/>
      <c r="T23" s="8"/>
      <c r="U23" s="8"/>
      <c r="V23" s="8"/>
      <c r="W23" s="8"/>
      <c r="X23" s="8"/>
      <c r="Y23" s="8"/>
    </row>
    <row r="24" spans="1:25" ht="15.75" customHeight="1" x14ac:dyDescent="0.25">
      <c r="A24" s="8"/>
      <c r="B24" s="8" t="str">
        <f>'Summed Data'!$A23</f>
        <v>LPC 22:0</v>
      </c>
      <c r="C24" s="63">
        <f>AVERAGE('Summed Data'!$B$23:$D$23)</f>
        <v>2.0582810636624271E-2</v>
      </c>
      <c r="D24" s="8" t="s">
        <v>416</v>
      </c>
      <c r="E24" s="71">
        <f>_xlfn.STDEV.S('Summed Data'!$B$23:$D$23)</f>
        <v>1.8904825964678677E-3</v>
      </c>
      <c r="F24" s="8"/>
      <c r="G24" s="80" t="str">
        <f>FIXED('consensus values'!$H$76, 1-FLOOR(LOG10('consensus values'!$H$76),1))</f>
        <v>0.025</v>
      </c>
      <c r="H24" s="8" t="s">
        <v>416</v>
      </c>
      <c r="I24" s="82" t="str">
        <f>FIXED('consensus values'!$P$76, 1-FLOOR(LOG10('consensus values'!$P$76),1))</f>
        <v>0.0017</v>
      </c>
      <c r="J24" s="10" t="s">
        <v>436</v>
      </c>
      <c r="K24" s="10">
        <v>5</v>
      </c>
      <c r="L24" s="74" t="str">
        <f>IF('Summed Data'!$E$23="","",'Summed Data'!$E$23)</f>
        <v/>
      </c>
      <c r="M24" s="8"/>
      <c r="N24" s="8"/>
      <c r="O24" s="8"/>
      <c r="P24" s="8"/>
      <c r="Q24" s="8"/>
      <c r="R24" s="8"/>
      <c r="S24" s="8"/>
      <c r="T24" s="8"/>
      <c r="U24" s="8"/>
      <c r="V24" s="8"/>
      <c r="W24" s="8"/>
      <c r="X24" s="8"/>
      <c r="Y24" s="8"/>
    </row>
    <row r="25" spans="1:25" ht="15.75" customHeight="1" x14ac:dyDescent="0.25">
      <c r="A25" s="8"/>
      <c r="B25" s="8" t="str">
        <f>'Summed Data'!$A24</f>
        <v>LPC 22:4</v>
      </c>
      <c r="C25" s="63">
        <f>AVERAGE('Summed Data'!$B$24:$D$24)</f>
        <v>0.11439233046190633</v>
      </c>
      <c r="D25" s="8" t="s">
        <v>416</v>
      </c>
      <c r="E25" s="71">
        <f>_xlfn.STDEV.S('Summed Data'!$B$24:$D$24)</f>
        <v>2.2214062831279309E-2</v>
      </c>
      <c r="F25" s="8"/>
      <c r="G25" s="80" t="str">
        <f>FIXED('consensus values'!$H$78, 1-FLOOR(LOG10('consensus values'!$H$78),1))</f>
        <v>0.12</v>
      </c>
      <c r="H25" s="8" t="s">
        <v>416</v>
      </c>
      <c r="I25" s="82" t="str">
        <f>FIXED('consensus values'!$P$78, 1-FLOOR(LOG10('consensus values'!$P$78),1))</f>
        <v>0.041</v>
      </c>
      <c r="J25" s="10" t="s">
        <v>436</v>
      </c>
      <c r="K25" s="10">
        <v>8</v>
      </c>
      <c r="L25" s="74" t="str">
        <f>IF('Summed Data'!$E$24="","",'Summed Data'!$E$24)</f>
        <v/>
      </c>
      <c r="M25" s="8"/>
      <c r="N25" s="8"/>
      <c r="O25" s="8"/>
      <c r="P25" s="8"/>
      <c r="Q25" s="8"/>
      <c r="R25" s="8"/>
      <c r="S25" s="8"/>
      <c r="T25" s="8"/>
      <c r="U25" s="8"/>
      <c r="V25" s="8"/>
      <c r="W25" s="8"/>
      <c r="X25" s="8"/>
      <c r="Y25" s="8"/>
    </row>
    <row r="26" spans="1:25" ht="15.75" customHeight="1" x14ac:dyDescent="0.25">
      <c r="A26" s="8"/>
      <c r="B26" s="8" t="str">
        <f>'Summed Data'!$A25</f>
        <v>LPC 22:5</v>
      </c>
      <c r="C26" s="63">
        <f>AVERAGE('Summed Data'!$B$25:$D$25)</f>
        <v>0.37904937076277068</v>
      </c>
      <c r="D26" s="8" t="s">
        <v>416</v>
      </c>
      <c r="E26" s="71">
        <f>_xlfn.STDEV.S('Summed Data'!$B$25:$D$25)</f>
        <v>1.6344573406924221E-2</v>
      </c>
      <c r="F26" s="8"/>
      <c r="G26" s="80" t="str">
        <f>FIXED('consensus values'!$H$79, 1-FLOOR(LOG10('consensus values'!$H$79),1))</f>
        <v>0.43</v>
      </c>
      <c r="H26" s="8" t="s">
        <v>416</v>
      </c>
      <c r="I26" s="82" t="str">
        <f>FIXED('consensus values'!$P$79, 1-FLOOR(LOG10('consensus values'!$P$79),1))</f>
        <v>0.13</v>
      </c>
      <c r="J26" s="10" t="s">
        <v>436</v>
      </c>
      <c r="K26" s="10">
        <v>12</v>
      </c>
      <c r="L26" s="74" t="str">
        <f>IF('Summed Data'!$E$25="","",'Summed Data'!$E$25)</f>
        <v/>
      </c>
      <c r="M26" s="8"/>
      <c r="N26" s="8"/>
      <c r="O26" s="8"/>
      <c r="P26" s="8"/>
      <c r="Q26" s="8"/>
      <c r="R26" s="8"/>
      <c r="S26" s="8"/>
      <c r="T26" s="8"/>
      <c r="U26" s="8"/>
      <c r="V26" s="8"/>
      <c r="W26" s="8"/>
      <c r="X26" s="8"/>
      <c r="Y26" s="8"/>
    </row>
    <row r="27" spans="1:25" ht="15.75" customHeight="1" x14ac:dyDescent="0.25">
      <c r="A27" s="8"/>
      <c r="B27" s="8" t="str">
        <f>'Summed Data'!$A26</f>
        <v>LPC 22:6</v>
      </c>
      <c r="C27" s="63">
        <f>AVERAGE('Summed Data'!$B$26:$D$26)</f>
        <v>0.83817749816938492</v>
      </c>
      <c r="D27" s="8" t="s">
        <v>416</v>
      </c>
      <c r="E27" s="71">
        <f>_xlfn.STDEV.S('Summed Data'!$B$26:$D$26)</f>
        <v>0.12475484432697181</v>
      </c>
      <c r="F27" s="8"/>
      <c r="G27" s="80" t="str">
        <f>FIXED('consensus values'!$H$80, 1-FLOOR(LOG10('consensus values'!$H$80),1))</f>
        <v>0.77</v>
      </c>
      <c r="H27" s="8" t="s">
        <v>416</v>
      </c>
      <c r="I27" s="82" t="str">
        <f>FIXED('consensus values'!$P$80, 1-FLOOR(LOG10('consensus values'!$P$80),1))</f>
        <v>0.14</v>
      </c>
      <c r="J27" s="10" t="s">
        <v>436</v>
      </c>
      <c r="K27" s="10">
        <v>17</v>
      </c>
      <c r="L27" s="74" t="str">
        <f>IF('Summed Data'!$E$26="","",'Summed Data'!$E$26)</f>
        <v/>
      </c>
      <c r="M27" s="8"/>
      <c r="N27" s="8"/>
      <c r="O27" s="8"/>
      <c r="P27" s="8"/>
      <c r="Q27" s="8"/>
      <c r="R27" s="8"/>
      <c r="S27" s="8"/>
      <c r="T27" s="8"/>
      <c r="U27" s="8"/>
      <c r="V27" s="8"/>
      <c r="W27" s="8"/>
      <c r="X27" s="8"/>
      <c r="Y27" s="8"/>
    </row>
    <row r="28" spans="1:25" ht="15.75" customHeight="1" x14ac:dyDescent="0.25">
      <c r="A28" s="8"/>
      <c r="B28" s="8" t="str">
        <f>'Summed Data'!$A27</f>
        <v>LPC 24:0</v>
      </c>
      <c r="C28" s="63">
        <f>AVERAGE('Summed Data'!$B$27:$D$27)</f>
        <v>4.9272619602676669E-2</v>
      </c>
      <c r="D28" s="8" t="s">
        <v>416</v>
      </c>
      <c r="E28" s="71">
        <f>_xlfn.STDEV.S('Summed Data'!$B$27:$D$27)</f>
        <v>1.9713056637070347E-3</v>
      </c>
      <c r="F28" s="8"/>
      <c r="G28" s="80" t="str">
        <f>FIXED('consensus values'!$H$81, 1-FLOOR(LOG10('consensus values'!$H$81),1))</f>
        <v>0.046</v>
      </c>
      <c r="H28" s="8" t="s">
        <v>416</v>
      </c>
      <c r="I28" s="82" t="str">
        <f>FIXED('consensus values'!$P$81, 1-FLOOR(LOG10('consensus values'!$P$81),1))</f>
        <v>0.015</v>
      </c>
      <c r="J28" s="10" t="s">
        <v>436</v>
      </c>
      <c r="K28" s="10">
        <v>5</v>
      </c>
      <c r="L28" s="74" t="str">
        <f>IF('Summed Data'!$E$27="","",'Summed Data'!$E$27)</f>
        <v/>
      </c>
      <c r="M28" s="8"/>
      <c r="N28" s="8"/>
      <c r="O28" s="8"/>
      <c r="P28" s="8"/>
      <c r="Q28" s="8"/>
      <c r="R28" s="8"/>
      <c r="S28" s="8"/>
      <c r="T28" s="8"/>
      <c r="U28" s="8"/>
      <c r="V28" s="8"/>
      <c r="W28" s="8"/>
      <c r="X28" s="8"/>
      <c r="Y28" s="8"/>
    </row>
    <row r="29" spans="1:25" ht="15.75" customHeight="1" x14ac:dyDescent="0.25">
      <c r="A29" s="8"/>
      <c r="B29" s="8" t="str">
        <f>'Summed Data'!$A28</f>
        <v>LPE 16:0</v>
      </c>
      <c r="C29" s="63">
        <f>AVERAGE('Summed Data'!$B$28:$D$28)</f>
        <v>0.5718602963876277</v>
      </c>
      <c r="D29" s="8" t="s">
        <v>416</v>
      </c>
      <c r="E29" s="71">
        <f>_xlfn.STDEV.S('Summed Data'!$B$28:$D$28)</f>
        <v>4.9956856630063926E-2</v>
      </c>
      <c r="F29" s="8"/>
      <c r="G29" s="80" t="str">
        <f>FIXED('consensus values'!$H$82, 1-FLOOR(LOG10('consensus values'!$H$82),1))</f>
        <v>0.91</v>
      </c>
      <c r="H29" s="8" t="s">
        <v>416</v>
      </c>
      <c r="I29" s="82" t="str">
        <f>FIXED('consensus values'!$P$82, 1-FLOOR(LOG10('consensus values'!$P$82),1))</f>
        <v>0.27</v>
      </c>
      <c r="J29" s="10" t="s">
        <v>436</v>
      </c>
      <c r="K29" s="10">
        <v>14</v>
      </c>
      <c r="L29" s="74" t="str">
        <f>IF('Summed Data'!$E$28="","",'Summed Data'!$E$28)</f>
        <v/>
      </c>
      <c r="M29" s="8"/>
      <c r="N29" s="8"/>
      <c r="O29" s="8"/>
      <c r="P29" s="8"/>
      <c r="Q29" s="8"/>
      <c r="R29" s="8"/>
      <c r="S29" s="8"/>
      <c r="T29" s="8"/>
      <c r="U29" s="8"/>
      <c r="V29" s="8"/>
      <c r="W29" s="8"/>
      <c r="X29" s="8"/>
      <c r="Y29" s="8"/>
    </row>
    <row r="30" spans="1:25" ht="15.75" customHeight="1" x14ac:dyDescent="0.25">
      <c r="A30" s="8"/>
      <c r="B30" s="8" t="str">
        <f>'Summed Data'!$A29</f>
        <v>LPE 18:0</v>
      </c>
      <c r="C30" s="63">
        <f>AVERAGE('Summed Data'!$B$29:$D$29)</f>
        <v>4.7369604170487101</v>
      </c>
      <c r="D30" s="8" t="s">
        <v>416</v>
      </c>
      <c r="E30" s="71">
        <f>_xlfn.STDEV.S('Summed Data'!$B$29:$D$29)</f>
        <v>0.21620156435067317</v>
      </c>
      <c r="F30" s="8"/>
      <c r="G30" s="80" t="str">
        <f>FIXED('consensus values'!$H$83, 1-FLOOR(LOG10('consensus values'!$H$83),1))</f>
        <v>1.6</v>
      </c>
      <c r="H30" s="8" t="s">
        <v>416</v>
      </c>
      <c r="I30" s="82" t="str">
        <f>FIXED('consensus values'!$P$83, 1-FLOOR(LOG10('consensus values'!$P$83),1))</f>
        <v>0.55</v>
      </c>
      <c r="J30" s="10" t="s">
        <v>436</v>
      </c>
      <c r="K30" s="10">
        <v>15</v>
      </c>
      <c r="L30" s="74" t="str">
        <f>IF('Summed Data'!$E$29="","",'Summed Data'!$E$29)</f>
        <v/>
      </c>
      <c r="M30" s="8"/>
      <c r="N30" s="8"/>
      <c r="O30" s="8"/>
      <c r="P30" s="8"/>
      <c r="Q30" s="8"/>
      <c r="R30" s="8"/>
      <c r="S30" s="8"/>
      <c r="T30" s="8"/>
      <c r="U30" s="8"/>
      <c r="V30" s="8"/>
      <c r="W30" s="8"/>
      <c r="X30" s="8"/>
      <c r="Y30" s="8"/>
    </row>
    <row r="31" spans="1:25" ht="15.75" customHeight="1" x14ac:dyDescent="0.25">
      <c r="A31" s="8"/>
      <c r="B31" s="8" t="str">
        <f>'Summed Data'!$A30</f>
        <v>LPE 18:1</v>
      </c>
      <c r="C31" s="63">
        <f>AVERAGE('Summed Data'!$B$30:$D$30)</f>
        <v>0.64954088220083561</v>
      </c>
      <c r="D31" s="8" t="s">
        <v>416</v>
      </c>
      <c r="E31" s="71">
        <f>_xlfn.STDEV.S('Summed Data'!$B$30:$D$30)</f>
        <v>2.7421414661297796E-2</v>
      </c>
      <c r="F31" s="8"/>
      <c r="G31" s="80" t="str">
        <f>FIXED('consensus values'!$H$84, 1-FLOOR(LOG10('consensus values'!$H$84),1))</f>
        <v>1.4</v>
      </c>
      <c r="H31" s="8" t="s">
        <v>416</v>
      </c>
      <c r="I31" s="82" t="str">
        <f>FIXED('consensus values'!$P$84, 1-FLOOR(LOG10('consensus values'!$P$84),1))</f>
        <v>0.47</v>
      </c>
      <c r="J31" s="10" t="s">
        <v>436</v>
      </c>
      <c r="K31" s="10">
        <v>14</v>
      </c>
      <c r="L31" s="74" t="str">
        <f>IF('Summed Data'!$E$30="","",'Summed Data'!$E$30)</f>
        <v/>
      </c>
      <c r="M31" s="8"/>
      <c r="N31" s="8"/>
      <c r="O31" s="8"/>
      <c r="P31" s="8"/>
      <c r="Q31" s="8"/>
      <c r="R31" s="8"/>
      <c r="S31" s="8"/>
      <c r="T31" s="8"/>
      <c r="U31" s="8"/>
      <c r="V31" s="8"/>
      <c r="W31" s="8"/>
      <c r="X31" s="8"/>
      <c r="Y31" s="8"/>
    </row>
    <row r="32" spans="1:25" ht="15.75" customHeight="1" x14ac:dyDescent="0.25">
      <c r="A32" s="8"/>
      <c r="B32" s="8" t="str">
        <f>'Summed Data'!$A31</f>
        <v>LPE 18:2</v>
      </c>
      <c r="C32" s="63">
        <f>AVERAGE('Summed Data'!$B$31:$D$31)</f>
        <v>1.5380343907980232</v>
      </c>
      <c r="D32" s="8" t="s">
        <v>416</v>
      </c>
      <c r="E32" s="71">
        <f>_xlfn.STDEV.S('Summed Data'!$B$31:$D$31)</f>
        <v>0.13575095932500691</v>
      </c>
      <c r="F32" s="8"/>
      <c r="G32" s="80" t="str">
        <f>FIXED('consensus values'!$H$85, 1-FLOOR(LOG10('consensus values'!$H$85),1))</f>
        <v>1.9</v>
      </c>
      <c r="H32" s="8" t="s">
        <v>416</v>
      </c>
      <c r="I32" s="82" t="str">
        <f>FIXED('consensus values'!$P$85, 1-FLOOR(LOG10('consensus values'!$P$85),1))</f>
        <v>0.56</v>
      </c>
      <c r="J32" s="10" t="s">
        <v>436</v>
      </c>
      <c r="K32" s="10">
        <v>16</v>
      </c>
      <c r="L32" s="74" t="str">
        <f>IF('Summed Data'!$E$31="","",'Summed Data'!$E$31)</f>
        <v/>
      </c>
      <c r="M32" s="8"/>
      <c r="N32" s="8"/>
      <c r="O32" s="8"/>
      <c r="P32" s="8"/>
      <c r="Q32" s="8"/>
      <c r="R32" s="8"/>
      <c r="S32" s="8"/>
      <c r="T32" s="8"/>
      <c r="U32" s="8"/>
      <c r="V32" s="8"/>
      <c r="W32" s="8"/>
      <c r="X32" s="8"/>
      <c r="Y32" s="8"/>
    </row>
    <row r="33" spans="1:25" ht="15.75" customHeight="1" x14ac:dyDescent="0.25">
      <c r="A33" s="8"/>
      <c r="B33" s="8" t="str">
        <f>'Summed Data'!$A32</f>
        <v>LPE 20:4</v>
      </c>
      <c r="C33" s="63">
        <f>AVERAGE('Summed Data'!$B$32:$D$32)</f>
        <v>1.67697242765054</v>
      </c>
      <c r="D33" s="8" t="s">
        <v>416</v>
      </c>
      <c r="E33" s="71">
        <f>_xlfn.STDEV.S('Summed Data'!$B$32:$D$32)</f>
        <v>0.12653362567773738</v>
      </c>
      <c r="F33" s="8"/>
      <c r="G33" s="80" t="str">
        <f>FIXED('consensus values'!$H$86, 1-FLOOR(LOG10('consensus values'!$H$86),1))</f>
        <v>1.1</v>
      </c>
      <c r="H33" s="8" t="s">
        <v>416</v>
      </c>
      <c r="I33" s="82" t="str">
        <f>FIXED('consensus values'!$P$86, 1-FLOOR(LOG10('consensus values'!$P$86),1))</f>
        <v>0.41</v>
      </c>
      <c r="J33" s="10" t="s">
        <v>436</v>
      </c>
      <c r="K33" s="10">
        <v>14</v>
      </c>
      <c r="L33" s="74" t="str">
        <f>IF('Summed Data'!$E$32="","",'Summed Data'!$E$32)</f>
        <v/>
      </c>
      <c r="M33" s="8"/>
      <c r="N33" s="8"/>
      <c r="O33" s="8"/>
      <c r="P33" s="8"/>
      <c r="Q33" s="8"/>
      <c r="R33" s="8"/>
      <c r="S33" s="8"/>
      <c r="T33" s="8"/>
      <c r="U33" s="8"/>
      <c r="V33" s="8"/>
      <c r="W33" s="8"/>
      <c r="X33" s="8"/>
      <c r="Y33" s="8"/>
    </row>
    <row r="34" spans="1:25" ht="15.75" customHeight="1" x14ac:dyDescent="0.25">
      <c r="A34" s="8"/>
      <c r="B34" s="8" t="str">
        <f>'Summed Data'!$A33</f>
        <v>LPE 22:6</v>
      </c>
      <c r="C34" s="63">
        <f>AVERAGE('Summed Data'!$B$33:$D$33)</f>
        <v>1.7902054687720168</v>
      </c>
      <c r="D34" s="8" t="s">
        <v>416</v>
      </c>
      <c r="E34" s="71">
        <f>_xlfn.STDEV.S('Summed Data'!$B$33:$D$33)</f>
        <v>0.21417942273816329</v>
      </c>
      <c r="F34" s="8"/>
      <c r="G34" s="80" t="str">
        <f>FIXED('consensus values'!$H$87, 1-FLOOR(LOG10('consensus values'!$H$87),1))</f>
        <v>0.52</v>
      </c>
      <c r="H34" s="8" t="s">
        <v>416</v>
      </c>
      <c r="I34" s="82" t="str">
        <f>FIXED('consensus values'!$P$87, 1-FLOOR(LOG10('consensus values'!$P$87),1))</f>
        <v>0.18</v>
      </c>
      <c r="J34" s="10" t="s">
        <v>436</v>
      </c>
      <c r="K34" s="10">
        <v>12</v>
      </c>
      <c r="L34" s="74" t="str">
        <f>IF('Summed Data'!$E$33="","",'Summed Data'!$E$33)</f>
        <v/>
      </c>
      <c r="M34" s="8"/>
      <c r="N34" s="8"/>
      <c r="O34" s="8"/>
      <c r="P34" s="8"/>
      <c r="Q34" s="8"/>
      <c r="R34" s="8"/>
      <c r="S34" s="8"/>
      <c r="T34" s="8"/>
      <c r="U34" s="8"/>
      <c r="V34" s="8"/>
      <c r="W34" s="8"/>
      <c r="X34" s="8"/>
      <c r="Y34" s="8"/>
    </row>
    <row r="35" spans="1:25" ht="15.75" customHeight="1" x14ac:dyDescent="0.25">
      <c r="A35" s="8"/>
      <c r="B35" s="8" t="str">
        <f>'Summed Data'!$A34</f>
        <v>PC 30:0</v>
      </c>
      <c r="C35" s="63">
        <f>AVERAGE('Summed Data'!$B$34:$D$34)</f>
        <v>5.7412105577175296</v>
      </c>
      <c r="D35" s="8" t="s">
        <v>416</v>
      </c>
      <c r="E35" s="71">
        <f>_xlfn.STDEV.S('Summed Data'!$B$34:$D$34)</f>
        <v>1.6241678405800586</v>
      </c>
      <c r="F35" s="8"/>
      <c r="G35" s="80" t="str">
        <f>FIXED('consensus values'!$H$88, 1-FLOOR(LOG10('consensus values'!$H$88),1))</f>
        <v>1.6</v>
      </c>
      <c r="H35" s="8" t="s">
        <v>416</v>
      </c>
      <c r="I35" s="82" t="str">
        <f>FIXED('consensus values'!$P$88, 1-FLOOR(LOG10('consensus values'!$P$88),1))</f>
        <v>0.32</v>
      </c>
      <c r="J35" s="10" t="s">
        <v>436</v>
      </c>
      <c r="K35" s="10">
        <v>11</v>
      </c>
      <c r="L35" s="74" t="str">
        <f>IF('Summed Data'!$E$34="","",'Summed Data'!$E$34)</f>
        <v/>
      </c>
      <c r="M35" s="8"/>
      <c r="N35" s="8"/>
      <c r="O35" s="8"/>
      <c r="P35" s="8"/>
      <c r="Q35" s="8"/>
      <c r="R35" s="8"/>
      <c r="S35" s="8"/>
      <c r="T35" s="8"/>
      <c r="U35" s="8"/>
      <c r="V35" s="8"/>
      <c r="W35" s="8"/>
      <c r="X35" s="8"/>
      <c r="Y35" s="8"/>
    </row>
    <row r="36" spans="1:25" ht="15.75" customHeight="1" x14ac:dyDescent="0.25">
      <c r="A36" s="8"/>
      <c r="B36" s="8" t="str">
        <f>'Summed Data'!$A35</f>
        <v>PC O-30:1/P-30:0</v>
      </c>
      <c r="C36" s="63">
        <f>AVERAGE('Summed Data'!$B$35:$D$35)</f>
        <v>0.18990832925531498</v>
      </c>
      <c r="D36" s="8" t="s">
        <v>416</v>
      </c>
      <c r="E36" s="71">
        <f>_xlfn.STDEV.S('Summed Data'!$B$35:$D$35)</f>
        <v>5.4091661291201749E-2</v>
      </c>
      <c r="F36" s="8"/>
      <c r="G36" s="80" t="str">
        <f>FIXED('consensus values'!$H$90, 1-FLOOR(LOG10('consensus values'!$H$90),1))</f>
        <v>0.047</v>
      </c>
      <c r="H36" s="8" t="s">
        <v>416</v>
      </c>
      <c r="I36" s="82" t="str">
        <f>FIXED('consensus values'!$P$90, 1-FLOOR(LOG10('consensus values'!$P$90),1))</f>
        <v>0.0096</v>
      </c>
      <c r="J36" s="10" t="s">
        <v>436</v>
      </c>
      <c r="K36" s="10">
        <v>7</v>
      </c>
      <c r="L36" s="74" t="str">
        <f>IF('Summed Data'!$E$35="","",'Summed Data'!$E$35)</f>
        <v>Includes only PC O-30:1 results.</v>
      </c>
      <c r="M36" s="8"/>
      <c r="N36" s="8"/>
      <c r="O36" s="8"/>
      <c r="P36" s="8"/>
      <c r="Q36" s="8"/>
      <c r="R36" s="8"/>
      <c r="S36" s="8"/>
      <c r="T36" s="8"/>
      <c r="U36" s="8"/>
      <c r="V36" s="8"/>
      <c r="W36" s="8"/>
      <c r="X36" s="8"/>
      <c r="Y36" s="8"/>
    </row>
    <row r="37" spans="1:25" ht="15.75" customHeight="1" x14ac:dyDescent="0.25">
      <c r="A37" s="8"/>
      <c r="B37" s="8" t="str">
        <f>'Summed Data'!$A36</f>
        <v>PC 32:0</v>
      </c>
      <c r="C37" s="63">
        <f>AVERAGE('Summed Data'!$B$36:$D$36)</f>
        <v>7.4656702825501027</v>
      </c>
      <c r="D37" s="8" t="s">
        <v>416</v>
      </c>
      <c r="E37" s="71">
        <f>_xlfn.STDEV.S('Summed Data'!$B$36:$D$36)</f>
        <v>1.3572433758740998</v>
      </c>
      <c r="F37" s="8"/>
      <c r="G37" s="80" t="str">
        <f>FIXED('consensus values'!$H$91, 1-FLOOR(LOG10('consensus values'!$H$91),1))</f>
        <v>7.2</v>
      </c>
      <c r="H37" s="8" t="s">
        <v>416</v>
      </c>
      <c r="I37" s="82" t="str">
        <f>FIXED('consensus values'!$P$91, 1-FLOOR(LOG10('consensus values'!$P$91),1))</f>
        <v>1.0</v>
      </c>
      <c r="J37" s="10" t="s">
        <v>436</v>
      </c>
      <c r="K37" s="10">
        <v>18</v>
      </c>
      <c r="L37" s="74" t="str">
        <f>IF('Summed Data'!$E$36="","",'Summed Data'!$E$36)</f>
        <v/>
      </c>
      <c r="M37" s="8"/>
      <c r="N37" s="8"/>
      <c r="O37" s="8"/>
      <c r="P37" s="8"/>
      <c r="Q37" s="8"/>
      <c r="R37" s="8"/>
      <c r="S37" s="8"/>
      <c r="T37" s="8"/>
      <c r="U37" s="8"/>
      <c r="V37" s="8"/>
      <c r="W37" s="8"/>
      <c r="X37" s="8"/>
      <c r="Y37" s="8"/>
    </row>
    <row r="38" spans="1:25" ht="15.75" customHeight="1" x14ac:dyDescent="0.25">
      <c r="A38" s="8"/>
      <c r="B38" s="8" t="str">
        <f>'Summed Data'!$A37</f>
        <v>PC O-32:0/31:0</v>
      </c>
      <c r="C38" s="63">
        <f>AVERAGE('Summed Data'!$B$37:$D$37)</f>
        <v>1.6529098449788198</v>
      </c>
      <c r="D38" s="8" t="s">
        <v>416</v>
      </c>
      <c r="E38" s="71">
        <f>_xlfn.STDEV.S('Summed Data'!$B$37:$D$37)</f>
        <v>0.31214280194942351</v>
      </c>
      <c r="F38" s="8"/>
      <c r="G38" s="80" t="str">
        <f>FIXED('consensus values'!$H$92, 1-FLOOR(LOG10('consensus values'!$H$92),1))</f>
        <v>1.5</v>
      </c>
      <c r="H38" s="8" t="s">
        <v>416</v>
      </c>
      <c r="I38" s="82" t="str">
        <f>FIXED('consensus values'!$P$92, 1-FLOOR(LOG10('consensus values'!$P$92),1))</f>
        <v>0.41</v>
      </c>
      <c r="J38" s="10" t="s">
        <v>436</v>
      </c>
      <c r="K38" s="10">
        <v>11</v>
      </c>
      <c r="L38" s="74" t="str">
        <f>IF('Summed Data'!$E$37="","",'Summed Data'!$E$37)</f>
        <v>Includes only PC O-32:0 results.</v>
      </c>
      <c r="M38" s="8"/>
      <c r="N38" s="8"/>
      <c r="O38" s="8"/>
      <c r="P38" s="8"/>
      <c r="Q38" s="8"/>
      <c r="R38" s="8"/>
      <c r="S38" s="8"/>
      <c r="T38" s="8"/>
      <c r="U38" s="8"/>
      <c r="V38" s="8"/>
      <c r="W38" s="8"/>
      <c r="X38" s="8"/>
      <c r="Y38" s="8"/>
    </row>
    <row r="39" spans="1:25" ht="15.75" customHeight="1" x14ac:dyDescent="0.25">
      <c r="A39" s="8"/>
      <c r="B39" s="8" t="str">
        <f>'Summed Data'!$A38</f>
        <v>PC 32:1</v>
      </c>
      <c r="C39" s="63">
        <f>AVERAGE('Summed Data'!$B$38:$D$38)</f>
        <v>8.9818895418770293</v>
      </c>
      <c r="D39" s="8" t="s">
        <v>416</v>
      </c>
      <c r="E39" s="71">
        <f>_xlfn.STDEV.S('Summed Data'!$B$38:$D$38)</f>
        <v>1.8014938636714046</v>
      </c>
      <c r="F39" s="8"/>
      <c r="G39" s="80" t="str">
        <f>FIXED('consensus values'!$H$93, 1-FLOOR(LOG10('consensus values'!$H$93),1))</f>
        <v>13</v>
      </c>
      <c r="H39" s="8" t="s">
        <v>416</v>
      </c>
      <c r="I39" s="82" t="str">
        <f>FIXED('consensus values'!$P$93, 1-FLOOR(LOG10('consensus values'!$P$93),1))</f>
        <v>1.9</v>
      </c>
      <c r="J39" s="10" t="s">
        <v>436</v>
      </c>
      <c r="K39" s="10">
        <v>18</v>
      </c>
      <c r="L39" s="74" t="str">
        <f>IF('Summed Data'!$E$38="","",'Summed Data'!$E$38)</f>
        <v/>
      </c>
      <c r="M39" s="8"/>
      <c r="N39" s="8"/>
      <c r="O39" s="8"/>
      <c r="P39" s="8"/>
      <c r="Q39" s="8"/>
      <c r="R39" s="8"/>
      <c r="S39" s="8"/>
      <c r="T39" s="8"/>
      <c r="U39" s="8"/>
      <c r="V39" s="8"/>
      <c r="W39" s="8"/>
      <c r="X39" s="8"/>
      <c r="Y39" s="8"/>
    </row>
    <row r="40" spans="1:25" ht="15.75" customHeight="1" x14ac:dyDescent="0.25">
      <c r="A40" s="8"/>
      <c r="B40" s="8" t="str">
        <f>'Summed Data'!$A39</f>
        <v>PC O-32:1/P-32:0/31:1</v>
      </c>
      <c r="C40" s="63">
        <f>AVERAGE('Summed Data'!$B$39:$D$39)</f>
        <v>0.92640331703421264</v>
      </c>
      <c r="D40" s="8" t="s">
        <v>416</v>
      </c>
      <c r="E40" s="71">
        <f>_xlfn.STDEV.S('Summed Data'!$B$39:$D$39)</f>
        <v>0.25862095788614148</v>
      </c>
      <c r="F40" s="8"/>
      <c r="G40" s="80" t="str">
        <f>FIXED('consensus values'!$H$94, 1-FLOOR(LOG10('consensus values'!$H$94),1))</f>
        <v>1.6</v>
      </c>
      <c r="H40" s="8" t="s">
        <v>416</v>
      </c>
      <c r="I40" s="82" t="str">
        <f>FIXED('consensus values'!$P$94, 1-FLOOR(LOG10('consensus values'!$P$94),1))</f>
        <v>0.24</v>
      </c>
      <c r="J40" s="10" t="s">
        <v>436</v>
      </c>
      <c r="K40" s="10">
        <v>11</v>
      </c>
      <c r="L40" s="74" t="str">
        <f>IF('Summed Data'!$E$39="","",'Summed Data'!$E$39)</f>
        <v>Includes only only PC O-32:1 results.</v>
      </c>
      <c r="M40" s="8"/>
      <c r="N40" s="8"/>
      <c r="O40" s="8"/>
      <c r="P40" s="8"/>
      <c r="Q40" s="8"/>
      <c r="R40" s="8"/>
      <c r="S40" s="8"/>
      <c r="T40" s="8"/>
      <c r="U40" s="8"/>
      <c r="V40" s="8"/>
      <c r="W40" s="8"/>
      <c r="X40" s="8"/>
      <c r="Y40" s="8"/>
    </row>
    <row r="41" spans="1:25" ht="15.75" customHeight="1" x14ac:dyDescent="0.25">
      <c r="A41" s="8"/>
      <c r="B41" s="8" t="str">
        <f>'Summed Data'!$A40</f>
        <v>PC P-33:1/32:2</v>
      </c>
      <c r="C41" s="63">
        <f>AVERAGE('Summed Data'!$B$40:$D$40)</f>
        <v>0.69819119197169688</v>
      </c>
      <c r="D41" s="8" t="s">
        <v>416</v>
      </c>
      <c r="E41" s="71">
        <f>_xlfn.STDEV.S('Summed Data'!$B$40:$D$40)</f>
        <v>0.17176798375828245</v>
      </c>
      <c r="F41" s="8"/>
      <c r="G41" s="80" t="str">
        <f>FIXED('consensus values'!$H$97, 1-FLOOR(LOG10('consensus values'!$H$97),1))</f>
        <v>2.6</v>
      </c>
      <c r="H41" s="8" t="s">
        <v>416</v>
      </c>
      <c r="I41" s="82" t="str">
        <f>FIXED('consensus values'!$P$97, 1-FLOOR(LOG10('consensus values'!$P$97),1))</f>
        <v>0.37</v>
      </c>
      <c r="J41" s="10" t="s">
        <v>436</v>
      </c>
      <c r="K41" s="10">
        <v>16</v>
      </c>
      <c r="L41" s="74" t="str">
        <f>IF('Summed Data'!$E$40="","",'Summed Data'!$E$40)</f>
        <v>Includes only PC P-33:1 results.</v>
      </c>
      <c r="M41" s="8"/>
      <c r="N41" s="8"/>
      <c r="O41" s="8"/>
      <c r="P41" s="8"/>
      <c r="Q41" s="8"/>
      <c r="R41" s="8"/>
      <c r="S41" s="8"/>
      <c r="T41" s="8"/>
      <c r="U41" s="8"/>
      <c r="V41" s="8"/>
      <c r="W41" s="8"/>
      <c r="X41" s="8"/>
      <c r="Y41" s="8"/>
    </row>
    <row r="42" spans="1:25" ht="15.75" customHeight="1" x14ac:dyDescent="0.25">
      <c r="A42" s="8"/>
      <c r="B42" s="8" t="str">
        <f>'Summed Data'!$A41</f>
        <v>PC 34:0</v>
      </c>
      <c r="C42" s="63">
        <f>AVERAGE('Summed Data'!$B$41:$D$41)</f>
        <v>13.865964893825767</v>
      </c>
      <c r="D42" s="8" t="s">
        <v>416</v>
      </c>
      <c r="E42" s="71">
        <f>_xlfn.STDEV.S('Summed Data'!$B$41:$D$41)</f>
        <v>2.7363544414331922</v>
      </c>
      <c r="F42" s="8"/>
      <c r="G42" s="80" t="str">
        <f>FIXED('consensus values'!$H$98, 1-FLOOR(LOG10('consensus values'!$H$98),1))</f>
        <v>2.1</v>
      </c>
      <c r="H42" s="8" t="s">
        <v>416</v>
      </c>
      <c r="I42" s="82" t="str">
        <f>FIXED('consensus values'!$P$98, 1-FLOOR(LOG10('consensus values'!$P$98),1))</f>
        <v>0.37</v>
      </c>
      <c r="J42" s="10" t="s">
        <v>436</v>
      </c>
      <c r="K42" s="10">
        <v>12</v>
      </c>
      <c r="L42" s="74" t="str">
        <f>IF('Summed Data'!$E$41="","",'Summed Data'!$E$41)</f>
        <v/>
      </c>
      <c r="M42" s="8"/>
      <c r="N42" s="8"/>
      <c r="O42" s="8"/>
      <c r="P42" s="8"/>
      <c r="Q42" s="8"/>
      <c r="R42" s="8"/>
      <c r="S42" s="8"/>
      <c r="T42" s="8"/>
      <c r="U42" s="8"/>
      <c r="V42" s="8"/>
      <c r="W42" s="8"/>
      <c r="X42" s="8"/>
      <c r="Y42" s="8"/>
    </row>
    <row r="43" spans="1:25" ht="15.75" customHeight="1" x14ac:dyDescent="0.25">
      <c r="A43" s="8"/>
      <c r="B43" s="8" t="str">
        <f>'Summed Data'!$A42</f>
        <v>PC O-34:0/33:0</v>
      </c>
      <c r="C43" s="63">
        <f>AVERAGE('Summed Data'!$B$42:$D$42)</f>
        <v>0.3985595735088443</v>
      </c>
      <c r="D43" s="8" t="s">
        <v>416</v>
      </c>
      <c r="E43" s="71">
        <f>_xlfn.STDEV.S('Summed Data'!$B$42:$D$42)</f>
        <v>5.4287725846129203E-2</v>
      </c>
      <c r="F43" s="8"/>
      <c r="G43" s="80" t="str">
        <f>FIXED('consensus values'!$H$99, 1-FLOOR(LOG10('consensus values'!$H$99),1))</f>
        <v>0.76</v>
      </c>
      <c r="H43" s="8" t="s">
        <v>416</v>
      </c>
      <c r="I43" s="82" t="str">
        <f>FIXED('consensus values'!$P$99, 1-FLOOR(LOG10('consensus values'!$P$99),1))</f>
        <v>0.17</v>
      </c>
      <c r="J43" s="10" t="s">
        <v>436</v>
      </c>
      <c r="K43" s="10">
        <v>10</v>
      </c>
      <c r="L43" s="74" t="str">
        <f>IF('Summed Data'!$E$42="","",'Summed Data'!$E$42)</f>
        <v>Includes only PC O-34:0 results.</v>
      </c>
      <c r="M43" s="8"/>
      <c r="N43" s="8"/>
      <c r="O43" s="8"/>
      <c r="P43" s="8"/>
      <c r="Q43" s="8"/>
      <c r="R43" s="8"/>
      <c r="S43" s="8"/>
      <c r="T43" s="8"/>
      <c r="U43" s="8"/>
      <c r="V43" s="8"/>
      <c r="W43" s="8"/>
      <c r="X43" s="8"/>
      <c r="Y43" s="8"/>
    </row>
    <row r="44" spans="1:25" ht="15.75" customHeight="1" x14ac:dyDescent="0.25">
      <c r="A44" s="8"/>
      <c r="B44" s="8" t="str">
        <f>'Summed Data'!$A43</f>
        <v>PC 34:1</v>
      </c>
      <c r="C44" s="63">
        <f>AVERAGE('Summed Data'!$B$43:$D$43)</f>
        <v>122.4480711328485</v>
      </c>
      <c r="D44" s="8" t="s">
        <v>416</v>
      </c>
      <c r="E44" s="71">
        <f>_xlfn.STDEV.S('Summed Data'!$B$43:$D$43)</f>
        <v>25.307286335386088</v>
      </c>
      <c r="F44" s="8"/>
      <c r="G44" s="80" t="str">
        <f>FIXED('consensus values'!$H$100, 1-FLOOR(LOG10('consensus values'!$H$100),1))</f>
        <v>120</v>
      </c>
      <c r="H44" s="8" t="s">
        <v>416</v>
      </c>
      <c r="I44" s="82" t="str">
        <f>FIXED('consensus values'!$P$100, 1-FLOOR(LOG10('consensus values'!$P$100),1))</f>
        <v>21</v>
      </c>
      <c r="J44" s="10" t="s">
        <v>436</v>
      </c>
      <c r="K44" s="10">
        <v>19</v>
      </c>
      <c r="L44" s="74" t="str">
        <f>IF('Summed Data'!$E$43="","",'Summed Data'!$E$43)</f>
        <v/>
      </c>
      <c r="M44" s="8"/>
      <c r="N44" s="8"/>
      <c r="O44" s="8"/>
      <c r="P44" s="8"/>
      <c r="Q44" s="8"/>
      <c r="R44" s="8"/>
      <c r="S44" s="8"/>
      <c r="T44" s="8"/>
      <c r="U44" s="8"/>
      <c r="V44" s="8"/>
      <c r="W44" s="8"/>
      <c r="X44" s="8"/>
      <c r="Y44" s="8"/>
    </row>
    <row r="45" spans="1:25" ht="15.75" customHeight="1" x14ac:dyDescent="0.25">
      <c r="A45" s="8"/>
      <c r="B45" s="8" t="str">
        <f>'Summed Data'!$A44</f>
        <v>PC O-34:1/P-34:0/33:1</v>
      </c>
      <c r="C45" s="63">
        <f>AVERAGE('Summed Data'!$B$44:$D$44)</f>
        <v>3.9120108543520167</v>
      </c>
      <c r="D45" s="8" t="s">
        <v>416</v>
      </c>
      <c r="E45" s="71">
        <f>_xlfn.STDEV.S('Summed Data'!$B$44:$D$44)</f>
        <v>0.77570226705681899</v>
      </c>
      <c r="F45" s="8"/>
      <c r="G45" s="80" t="str">
        <f>FIXED('consensus values'!$H$101, 1-FLOOR(LOG10('consensus values'!$H$101),1))</f>
        <v>4.9</v>
      </c>
      <c r="H45" s="8" t="s">
        <v>416</v>
      </c>
      <c r="I45" s="82" t="str">
        <f>FIXED('consensus values'!$P$101, 1-FLOOR(LOG10('consensus values'!$P$101),1))</f>
        <v>0.86</v>
      </c>
      <c r="J45" s="10" t="s">
        <v>436</v>
      </c>
      <c r="K45" s="10">
        <v>17</v>
      </c>
      <c r="L45" s="74" t="str">
        <f>IF('Summed Data'!$E$44="","",'Summed Data'!$E$44)</f>
        <v>Includes only only PC O-34:1 results.</v>
      </c>
      <c r="M45" s="8"/>
      <c r="N45" s="8"/>
      <c r="O45" s="8"/>
      <c r="P45" s="8"/>
      <c r="Q45" s="8"/>
      <c r="R45" s="8"/>
      <c r="S45" s="8"/>
      <c r="T45" s="8"/>
      <c r="U45" s="8"/>
      <c r="V45" s="8"/>
      <c r="W45" s="8"/>
      <c r="X45" s="8"/>
      <c r="Y45" s="8"/>
    </row>
    <row r="46" spans="1:25" ht="15.75" customHeight="1" x14ac:dyDescent="0.25">
      <c r="A46" s="8"/>
      <c r="B46" s="8" t="str">
        <f>'Summed Data'!$A45</f>
        <v>PC O-34:2/P-34:1/33:2</v>
      </c>
      <c r="C46" s="63">
        <f>AVERAGE('Summed Data'!$B$45:$D$45)</f>
        <v>2.5391905236503303</v>
      </c>
      <c r="D46" s="8" t="s">
        <v>416</v>
      </c>
      <c r="E46" s="71">
        <f>_xlfn.STDEV.S('Summed Data'!$B$45:$D$45)</f>
        <v>0.50987413961225359</v>
      </c>
      <c r="F46" s="8"/>
      <c r="G46" s="80" t="str">
        <f>FIXED('consensus values'!$H$102, 1-FLOOR(LOG10('consensus values'!$H$102),1))</f>
        <v>5.2</v>
      </c>
      <c r="H46" s="8" t="s">
        <v>416</v>
      </c>
      <c r="I46" s="82" t="str">
        <f>FIXED('consensus values'!$P$102, 1-FLOOR(LOG10('consensus values'!$P$102),1))</f>
        <v>1.3</v>
      </c>
      <c r="J46" s="10" t="s">
        <v>436</v>
      </c>
      <c r="K46" s="10">
        <v>17</v>
      </c>
      <c r="L46" s="74" t="str">
        <f>IF('Summed Data'!$E$45="","",'Summed Data'!$E$45)</f>
        <v>Includes only only PC O-34:2 results.</v>
      </c>
      <c r="M46" s="8"/>
      <c r="N46" s="8"/>
      <c r="O46" s="8"/>
      <c r="P46" s="8"/>
      <c r="Q46" s="8"/>
      <c r="R46" s="8"/>
      <c r="S46" s="8"/>
      <c r="T46" s="8"/>
      <c r="U46" s="8"/>
      <c r="V46" s="8"/>
      <c r="W46" s="8"/>
      <c r="X46" s="8"/>
      <c r="Y46" s="8"/>
    </row>
    <row r="47" spans="1:25" ht="15.75" customHeight="1" x14ac:dyDescent="0.25">
      <c r="A47" s="8"/>
      <c r="B47" s="8" t="str">
        <f>'Summed Data'!$A46</f>
        <v>PC O-34:3/P-34:2/33:3</v>
      </c>
      <c r="C47" s="63">
        <f>AVERAGE('Summed Data'!$B$46:$D$46)</f>
        <v>3.7729654053479735</v>
      </c>
      <c r="D47" s="8" t="s">
        <v>416</v>
      </c>
      <c r="E47" s="71">
        <f>_xlfn.STDEV.S('Summed Data'!$B$46:$D$46)</f>
        <v>0.73072481708009451</v>
      </c>
      <c r="F47" s="8"/>
      <c r="G47" s="80" t="str">
        <f>FIXED('consensus values'!$H$103, 1-FLOOR(LOG10('consensus values'!$H$103),1))</f>
        <v>4.7</v>
      </c>
      <c r="H47" s="8" t="s">
        <v>416</v>
      </c>
      <c r="I47" s="82" t="str">
        <f>FIXED('consensus values'!$P$103, 1-FLOOR(LOG10('consensus values'!$P$103),1))</f>
        <v>0.88</v>
      </c>
      <c r="J47" s="10" t="s">
        <v>436</v>
      </c>
      <c r="K47" s="10">
        <v>12</v>
      </c>
      <c r="L47" s="74" t="str">
        <f>IF('Summed Data'!$E$46="","",'Summed Data'!$E$46)</f>
        <v>Includes only only PC O-34:3 results.</v>
      </c>
      <c r="M47" s="8"/>
      <c r="N47" s="8"/>
      <c r="O47" s="8"/>
      <c r="P47" s="8"/>
      <c r="Q47" s="8"/>
      <c r="R47" s="8"/>
      <c r="S47" s="8"/>
      <c r="T47" s="8"/>
      <c r="U47" s="8"/>
      <c r="V47" s="8"/>
      <c r="W47" s="8"/>
      <c r="X47" s="8"/>
      <c r="Y47" s="8"/>
    </row>
    <row r="48" spans="1:25" ht="15.75" customHeight="1" x14ac:dyDescent="0.25">
      <c r="A48" s="8"/>
      <c r="B48" s="8" t="str">
        <f>'Summed Data'!$A47</f>
        <v>PC P-35:1/34:2</v>
      </c>
      <c r="C48" s="63">
        <f>AVERAGE('Summed Data'!$B$47:$D$47)</f>
        <v>3.2619233957875999</v>
      </c>
      <c r="D48" s="8" t="s">
        <v>416</v>
      </c>
      <c r="E48" s="71">
        <f>_xlfn.STDEV.S('Summed Data'!$B$47:$D$47)</f>
        <v>0.58346654101764617</v>
      </c>
      <c r="F48" s="8"/>
      <c r="G48" s="80" t="str">
        <f>FIXED('consensus values'!$H$104, 1-FLOOR(LOG10('consensus values'!$H$104),1))</f>
        <v>240</v>
      </c>
      <c r="H48" s="8" t="s">
        <v>416</v>
      </c>
      <c r="I48" s="82" t="str">
        <f>FIXED('consensus values'!$P$104, 1-FLOOR(LOG10('consensus values'!$P$104),1))</f>
        <v>47</v>
      </c>
      <c r="J48" s="10" t="s">
        <v>436</v>
      </c>
      <c r="K48" s="10">
        <v>18</v>
      </c>
      <c r="L48" s="74" t="str">
        <f>IF('Summed Data'!$E$47="","",'Summed Data'!$E$47)</f>
        <v>Includes only PC P-35:1 results.</v>
      </c>
      <c r="M48" s="8"/>
      <c r="N48" s="8"/>
      <c r="O48" s="8"/>
      <c r="P48" s="8"/>
      <c r="Q48" s="8"/>
      <c r="R48" s="8"/>
      <c r="S48" s="8"/>
      <c r="T48" s="8"/>
      <c r="U48" s="8"/>
      <c r="V48" s="8"/>
      <c r="W48" s="8"/>
      <c r="X48" s="8"/>
      <c r="Y48" s="8"/>
    </row>
    <row r="49" spans="1:25" ht="15.75" customHeight="1" x14ac:dyDescent="0.25">
      <c r="A49" s="8"/>
      <c r="B49" s="8" t="str">
        <f>'Summed Data'!$A48</f>
        <v>PC 34:5</v>
      </c>
      <c r="C49" s="63">
        <f>AVERAGE('Summed Data'!$B$48:$D$48)</f>
        <v>4.7274806070580898E-2</v>
      </c>
      <c r="D49" s="8" t="s">
        <v>416</v>
      </c>
      <c r="E49" s="71">
        <f>_xlfn.STDEV.S('Summed Data'!$B$48:$D$48)</f>
        <v>1.0898351716917784E-2</v>
      </c>
      <c r="F49" s="8"/>
      <c r="G49" s="80" t="str">
        <f>FIXED('consensus values'!$H$107, 1-FLOOR(LOG10('consensus values'!$H$107),1))</f>
        <v>0.034</v>
      </c>
      <c r="H49" s="8" t="s">
        <v>416</v>
      </c>
      <c r="I49" s="82" t="str">
        <f>FIXED('consensus values'!$P$107, 1-FLOOR(LOG10('consensus values'!$P$107),1))</f>
        <v>0.0045</v>
      </c>
      <c r="J49" s="10" t="s">
        <v>436</v>
      </c>
      <c r="K49" s="10">
        <v>5</v>
      </c>
      <c r="L49" s="74" t="str">
        <f>IF('Summed Data'!$E$48="","",'Summed Data'!$E$48)</f>
        <v/>
      </c>
      <c r="M49" s="8"/>
      <c r="N49" s="8"/>
      <c r="O49" s="8"/>
      <c r="P49" s="8"/>
      <c r="Q49" s="8"/>
      <c r="R49" s="8"/>
      <c r="S49" s="8"/>
      <c r="T49" s="8"/>
      <c r="U49" s="8"/>
      <c r="V49" s="8"/>
      <c r="W49" s="8"/>
      <c r="X49" s="8"/>
      <c r="Y49" s="8"/>
    </row>
    <row r="50" spans="1:25" ht="15.75" customHeight="1" x14ac:dyDescent="0.25">
      <c r="A50" s="8"/>
      <c r="B50" s="8" t="str">
        <f>'Summed Data'!$A49</f>
        <v>PC 36:1</v>
      </c>
      <c r="C50" s="63">
        <f>AVERAGE('Summed Data'!$B$49:$D$49)</f>
        <v>36.99338622683694</v>
      </c>
      <c r="D50" s="8" t="s">
        <v>416</v>
      </c>
      <c r="E50" s="71">
        <f>_xlfn.STDEV.S('Summed Data'!$B$49:$D$49)</f>
        <v>7.2673873797850881</v>
      </c>
      <c r="F50" s="8"/>
      <c r="G50" s="80" t="str">
        <f>FIXED('consensus values'!$H$108, 1-FLOOR(LOG10('consensus values'!$H$108),1))</f>
        <v>26</v>
      </c>
      <c r="H50" s="8" t="s">
        <v>416</v>
      </c>
      <c r="I50" s="82" t="str">
        <f>FIXED('consensus values'!$P$108, 1-FLOOR(LOG10('consensus values'!$P$108),1))</f>
        <v>4.6</v>
      </c>
      <c r="J50" s="10" t="s">
        <v>436</v>
      </c>
      <c r="K50" s="10">
        <v>17</v>
      </c>
      <c r="L50" s="74" t="str">
        <f>IF('Summed Data'!$E$49="","",'Summed Data'!$E$49)</f>
        <v/>
      </c>
      <c r="M50" s="8"/>
      <c r="N50" s="8"/>
      <c r="O50" s="8"/>
      <c r="P50" s="8"/>
      <c r="Q50" s="8"/>
      <c r="R50" s="8"/>
      <c r="S50" s="8"/>
      <c r="T50" s="8"/>
      <c r="U50" s="8"/>
      <c r="V50" s="8"/>
      <c r="W50" s="8"/>
      <c r="X50" s="8"/>
      <c r="Y50" s="8"/>
    </row>
    <row r="51" spans="1:25" ht="15.75" customHeight="1" x14ac:dyDescent="0.25">
      <c r="A51" s="8"/>
      <c r="B51" s="8" t="str">
        <f>'Summed Data'!$A50</f>
        <v>PC O-36:1/P-36:0/35:1</v>
      </c>
      <c r="C51" s="63">
        <f>AVERAGE('Summed Data'!$B$50:$D$50)</f>
        <v>0.57744514548542902</v>
      </c>
      <c r="D51" s="8" t="s">
        <v>416</v>
      </c>
      <c r="E51" s="71">
        <f>_xlfn.STDEV.S('Summed Data'!$B$50:$D$50)</f>
        <v>0.10980270672491223</v>
      </c>
      <c r="F51" s="8"/>
      <c r="G51" s="80" t="str">
        <f>FIXED('consensus values'!$H$109, 1-FLOOR(LOG10('consensus values'!$H$109),1))</f>
        <v>3.5</v>
      </c>
      <c r="H51" s="8" t="s">
        <v>416</v>
      </c>
      <c r="I51" s="82" t="str">
        <f>FIXED('consensus values'!$P$109, 1-FLOOR(LOG10('consensus values'!$P$109),1))</f>
        <v>0.99</v>
      </c>
      <c r="J51" s="10" t="s">
        <v>436</v>
      </c>
      <c r="K51" s="10">
        <v>16</v>
      </c>
      <c r="L51" s="74" t="str">
        <f>IF('Summed Data'!$E$50="","",'Summed Data'!$E$50)</f>
        <v>Includes only only PC O-36:1 results.</v>
      </c>
      <c r="M51" s="8"/>
      <c r="N51" s="8"/>
      <c r="O51" s="8"/>
      <c r="P51" s="8"/>
      <c r="Q51" s="8"/>
      <c r="R51" s="8"/>
      <c r="S51" s="8"/>
      <c r="T51" s="8"/>
      <c r="U51" s="8"/>
      <c r="V51" s="8"/>
      <c r="W51" s="8"/>
      <c r="X51" s="8"/>
      <c r="Y51" s="8"/>
    </row>
    <row r="52" spans="1:25" ht="15.75" customHeight="1" x14ac:dyDescent="0.25">
      <c r="A52" s="8"/>
      <c r="B52" s="8" t="str">
        <f>'Summed Data'!$A51</f>
        <v>PC 36:2</v>
      </c>
      <c r="C52" s="63">
        <f>AVERAGE('Summed Data'!$B$51:$D$51)</f>
        <v>155.02159645101932</v>
      </c>
      <c r="D52" s="8" t="s">
        <v>416</v>
      </c>
      <c r="E52" s="71">
        <f>_xlfn.STDEV.S('Summed Data'!$B$51:$D$51)</f>
        <v>31.668961673126546</v>
      </c>
      <c r="F52" s="8"/>
      <c r="G52" s="80" t="str">
        <f>FIXED('consensus values'!$H$110, 1-FLOOR(LOG10('consensus values'!$H$110),1))</f>
        <v>140</v>
      </c>
      <c r="H52" s="8" t="s">
        <v>416</v>
      </c>
      <c r="I52" s="82" t="str">
        <f>FIXED('consensus values'!$P$110, 1-FLOOR(LOG10('consensus values'!$P$110),1))</f>
        <v>25</v>
      </c>
      <c r="J52" s="10" t="s">
        <v>436</v>
      </c>
      <c r="K52" s="10">
        <v>18</v>
      </c>
      <c r="L52" s="74" t="str">
        <f>IF('Summed Data'!$E$51="","",'Summed Data'!$E$51)</f>
        <v/>
      </c>
      <c r="M52" s="8"/>
      <c r="N52" s="8"/>
      <c r="O52" s="8"/>
      <c r="P52" s="8"/>
      <c r="Q52" s="8"/>
      <c r="R52" s="8"/>
      <c r="S52" s="8"/>
      <c r="T52" s="8"/>
      <c r="U52" s="8"/>
      <c r="V52" s="8"/>
      <c r="W52" s="8"/>
      <c r="X52" s="8"/>
      <c r="Y52" s="8"/>
    </row>
    <row r="53" spans="1:25" ht="15.75" customHeight="1" x14ac:dyDescent="0.25">
      <c r="A53" s="8"/>
      <c r="B53" s="8" t="str">
        <f>'Summed Data'!$A52</f>
        <v>PC O-36:2/P-36:1/35:2</v>
      </c>
      <c r="C53" s="63">
        <f>AVERAGE('Summed Data'!$B$52:$D$52)</f>
        <v>1.3037403129607965</v>
      </c>
      <c r="D53" s="8" t="s">
        <v>416</v>
      </c>
      <c r="E53" s="71">
        <f>_xlfn.STDEV.S('Summed Data'!$B$52:$D$52)</f>
        <v>0.35087696981064259</v>
      </c>
      <c r="F53" s="8"/>
      <c r="G53" s="80" t="str">
        <f>FIXED('consensus values'!$H$111, 1-FLOOR(LOG10('consensus values'!$H$111),1))</f>
        <v>7.4</v>
      </c>
      <c r="H53" s="8" t="s">
        <v>416</v>
      </c>
      <c r="I53" s="82" t="str">
        <f>FIXED('consensus values'!$P$111, 1-FLOOR(LOG10('consensus values'!$P$111),1))</f>
        <v>1.7</v>
      </c>
      <c r="J53" s="10" t="s">
        <v>436</v>
      </c>
      <c r="K53" s="10">
        <v>17</v>
      </c>
      <c r="L53" s="74" t="str">
        <f>IF('Summed Data'!$E$52="","",'Summed Data'!$E$52)</f>
        <v>Includes only only PC O-36:2 results.</v>
      </c>
      <c r="M53" s="8"/>
      <c r="N53" s="8"/>
      <c r="O53" s="8"/>
      <c r="P53" s="8"/>
      <c r="Q53" s="8"/>
      <c r="R53" s="8"/>
      <c r="S53" s="8"/>
      <c r="T53" s="8"/>
      <c r="U53" s="8"/>
      <c r="V53" s="8"/>
      <c r="W53" s="8"/>
      <c r="X53" s="8"/>
      <c r="Y53" s="8"/>
    </row>
    <row r="54" spans="1:25" ht="15.75" customHeight="1" x14ac:dyDescent="0.25">
      <c r="A54" s="8"/>
      <c r="B54" s="8" t="str">
        <f>'Summed Data'!$A53</f>
        <v>PC 36:3</v>
      </c>
      <c r="C54" s="63">
        <f>AVERAGE('Summed Data'!$B$53:$D$53)</f>
        <v>52.740478582928695</v>
      </c>
      <c r="D54" s="8" t="s">
        <v>416</v>
      </c>
      <c r="E54" s="71">
        <f>_xlfn.STDEV.S('Summed Data'!$B$53:$D$53)</f>
        <v>10.444573843803195</v>
      </c>
      <c r="F54" s="8"/>
      <c r="G54" s="80" t="str">
        <f>FIXED('consensus values'!$H$112, 1-FLOOR(LOG10('consensus values'!$H$112),1))</f>
        <v>100</v>
      </c>
      <c r="H54" s="8" t="s">
        <v>416</v>
      </c>
      <c r="I54" s="82" t="str">
        <f>FIXED('consensus values'!$P$112, 1-FLOOR(LOG10('consensus values'!$P$112),1))</f>
        <v>14</v>
      </c>
      <c r="J54" s="10" t="s">
        <v>436</v>
      </c>
      <c r="K54" s="10">
        <v>17</v>
      </c>
      <c r="L54" s="74" t="str">
        <f>IF('Summed Data'!$E$53="","",'Summed Data'!$E$53)</f>
        <v/>
      </c>
      <c r="M54" s="8"/>
      <c r="N54" s="8"/>
      <c r="O54" s="8"/>
      <c r="P54" s="8"/>
      <c r="Q54" s="8"/>
      <c r="R54" s="8"/>
      <c r="S54" s="8"/>
      <c r="T54" s="8"/>
      <c r="U54" s="8"/>
      <c r="V54" s="8"/>
      <c r="W54" s="8"/>
      <c r="X54" s="8"/>
      <c r="Y54" s="8"/>
    </row>
    <row r="55" spans="1:25" ht="15.75" customHeight="1" x14ac:dyDescent="0.25">
      <c r="A55" s="8"/>
      <c r="B55" s="8" t="str">
        <f>'Summed Data'!$A54</f>
        <v>PC 36:4</v>
      </c>
      <c r="C55" s="63">
        <f>AVERAGE('Summed Data'!$B$54:$D$54)</f>
        <v>75.154596166791535</v>
      </c>
      <c r="D55" s="8" t="s">
        <v>416</v>
      </c>
      <c r="E55" s="71">
        <f>_xlfn.STDEV.S('Summed Data'!$B$54:$D$54)</f>
        <v>14.305203780939037</v>
      </c>
      <c r="F55" s="8"/>
      <c r="G55" s="80" t="str">
        <f>FIXED('consensus values'!$H$114, 1-FLOOR(LOG10('consensus values'!$H$114),1))</f>
        <v>150</v>
      </c>
      <c r="H55" s="8" t="s">
        <v>416</v>
      </c>
      <c r="I55" s="82" t="str">
        <f>FIXED('consensus values'!$P$114, 1-FLOOR(LOG10('consensus values'!$P$114),1))</f>
        <v>28</v>
      </c>
      <c r="J55" s="10" t="s">
        <v>436</v>
      </c>
      <c r="K55" s="10">
        <v>19</v>
      </c>
      <c r="L55" s="74" t="str">
        <f>IF('Summed Data'!$E$54="","",'Summed Data'!$E$54)</f>
        <v/>
      </c>
      <c r="M55" s="8"/>
      <c r="N55" s="8"/>
      <c r="O55" s="8"/>
      <c r="P55" s="8"/>
      <c r="Q55" s="8"/>
      <c r="R55" s="8"/>
      <c r="S55" s="8"/>
      <c r="T55" s="8"/>
      <c r="U55" s="8"/>
      <c r="V55" s="8"/>
      <c r="W55" s="8"/>
      <c r="X55" s="8"/>
      <c r="Y55" s="8"/>
    </row>
    <row r="56" spans="1:25" ht="15.75" customHeight="1" x14ac:dyDescent="0.25">
      <c r="A56" s="8"/>
      <c r="B56" s="8" t="str">
        <f>'Summed Data'!$A55</f>
        <v>PC O-36:4/P-36:3/35:4</v>
      </c>
      <c r="C56" s="63">
        <f>AVERAGE('Summed Data'!$B$55:$D$55)</f>
        <v>8.81286093083291</v>
      </c>
      <c r="D56" s="8" t="s">
        <v>416</v>
      </c>
      <c r="E56" s="71">
        <f>_xlfn.STDEV.S('Summed Data'!$B$55:$D$55)</f>
        <v>1.6569129543114856</v>
      </c>
      <c r="F56" s="8"/>
      <c r="G56" s="80" t="str">
        <f>FIXED('consensus values'!$H$115, 1-FLOOR(LOG10('consensus values'!$H$115),1))</f>
        <v>12</v>
      </c>
      <c r="H56" s="8" t="s">
        <v>416</v>
      </c>
      <c r="I56" s="82" t="str">
        <f>FIXED('consensus values'!$P$115, 1-FLOOR(LOG10('consensus values'!$P$115),1))</f>
        <v>1.4</v>
      </c>
      <c r="J56" s="10" t="s">
        <v>436</v>
      </c>
      <c r="K56" s="10">
        <v>17</v>
      </c>
      <c r="L56" s="74" t="str">
        <f>IF('Summed Data'!$E$55="","",'Summed Data'!$E$55)</f>
        <v>Includes only only PC O-36:4 results.</v>
      </c>
      <c r="M56" s="8"/>
      <c r="N56" s="8"/>
      <c r="O56" s="8"/>
      <c r="P56" s="8"/>
      <c r="Q56" s="8"/>
      <c r="R56" s="8"/>
      <c r="S56" s="8"/>
      <c r="T56" s="8"/>
      <c r="U56" s="8"/>
      <c r="V56" s="8"/>
      <c r="W56" s="8"/>
      <c r="X56" s="8"/>
      <c r="Y56" s="8"/>
    </row>
    <row r="57" spans="1:25" ht="15.75" customHeight="1" x14ac:dyDescent="0.25">
      <c r="A57" s="8"/>
      <c r="B57" s="8" t="str">
        <f>'Summed Data'!$A56</f>
        <v>PC 36:5</v>
      </c>
      <c r="C57" s="63">
        <f>AVERAGE('Summed Data'!$B$56:$D$56)</f>
        <v>8.2059820346703614</v>
      </c>
      <c r="D57" s="8" t="s">
        <v>416</v>
      </c>
      <c r="E57" s="71">
        <f>_xlfn.STDEV.S('Summed Data'!$B$56:$D$56)</f>
        <v>1.4592164689605973</v>
      </c>
      <c r="F57" s="8"/>
      <c r="G57" s="80" t="str">
        <f>FIXED('consensus values'!$H$116, 1-FLOOR(LOG10('consensus values'!$H$116),1))</f>
        <v>11</v>
      </c>
      <c r="H57" s="8" t="s">
        <v>416</v>
      </c>
      <c r="I57" s="82" t="str">
        <f>FIXED('consensus values'!$P$116, 1-FLOOR(LOG10('consensus values'!$P$116),1))</f>
        <v>1.8</v>
      </c>
      <c r="J57" s="10" t="s">
        <v>436</v>
      </c>
      <c r="K57" s="10">
        <v>16</v>
      </c>
      <c r="L57" s="74" t="str">
        <f>IF('Summed Data'!$E$56="","",'Summed Data'!$E$56)</f>
        <v/>
      </c>
      <c r="M57" s="8"/>
      <c r="N57" s="8"/>
      <c r="O57" s="8"/>
      <c r="P57" s="8"/>
      <c r="Q57" s="8"/>
      <c r="R57" s="8"/>
      <c r="S57" s="8"/>
      <c r="T57" s="8"/>
      <c r="U57" s="8"/>
      <c r="V57" s="8"/>
      <c r="W57" s="8"/>
      <c r="X57" s="8"/>
      <c r="Y57" s="8"/>
    </row>
    <row r="58" spans="1:25" ht="15.75" customHeight="1" x14ac:dyDescent="0.25">
      <c r="A58" s="8"/>
      <c r="B58" s="8" t="str">
        <f>'Summed Data'!$A57</f>
        <v>PC O-36:5/P-36:4/35:5</v>
      </c>
      <c r="C58" s="63">
        <f>AVERAGE('Summed Data'!$B$57:$D$57)</f>
        <v>4.9469519174796437</v>
      </c>
      <c r="D58" s="8" t="s">
        <v>416</v>
      </c>
      <c r="E58" s="71">
        <f>_xlfn.STDEV.S('Summed Data'!$B$57:$D$57)</f>
        <v>0.9905423015302971</v>
      </c>
      <c r="F58" s="8"/>
      <c r="G58" s="80" t="str">
        <f>FIXED('consensus values'!$H$117, 1-FLOOR(LOG10('consensus values'!$H$117),1))</f>
        <v>6.9</v>
      </c>
      <c r="H58" s="8" t="s">
        <v>416</v>
      </c>
      <c r="I58" s="82" t="str">
        <f>FIXED('consensus values'!$P$117, 1-FLOOR(LOG10('consensus values'!$P$117),1))</f>
        <v>1.6</v>
      </c>
      <c r="J58" s="10" t="s">
        <v>436</v>
      </c>
      <c r="K58" s="10">
        <v>11</v>
      </c>
      <c r="L58" s="74" t="str">
        <f>IF('Summed Data'!$E$57="","",'Summed Data'!$E$57)</f>
        <v>Includes only only PC O-36:5 results.</v>
      </c>
      <c r="M58" s="8"/>
      <c r="N58" s="8"/>
      <c r="O58" s="8"/>
      <c r="P58" s="8"/>
      <c r="Q58" s="8"/>
      <c r="R58" s="8"/>
      <c r="S58" s="8"/>
      <c r="T58" s="8"/>
      <c r="U58" s="8"/>
      <c r="V58" s="8"/>
      <c r="W58" s="8"/>
      <c r="X58" s="8"/>
      <c r="Y58" s="8"/>
    </row>
    <row r="59" spans="1:25" ht="15.75" customHeight="1" x14ac:dyDescent="0.25">
      <c r="A59" s="8"/>
      <c r="B59" s="8" t="str">
        <f>'Summed Data'!$A58</f>
        <v>PC P-36:5/35:6</v>
      </c>
      <c r="C59" s="63">
        <f>AVERAGE('Summed Data'!$B$58:$D$58)</f>
        <v>8.2480506499376313E-2</v>
      </c>
      <c r="D59" s="8" t="s">
        <v>416</v>
      </c>
      <c r="E59" s="71">
        <f>_xlfn.STDEV.S('Summed Data'!$B$58:$D$58)</f>
        <v>6.3735462104797698E-3</v>
      </c>
      <c r="F59" s="8"/>
      <c r="G59" s="80" t="str">
        <f>FIXED('consensus values'!$H$118, 1-FLOOR(LOG10('consensus values'!$H$118),1))</f>
        <v>0.30</v>
      </c>
      <c r="H59" s="8" t="s">
        <v>416</v>
      </c>
      <c r="I59" s="82" t="str">
        <f>FIXED('consensus values'!$P$118, 1-FLOOR(LOG10('consensus values'!$P$118),1))</f>
        <v>0.094</v>
      </c>
      <c r="J59" s="10" t="s">
        <v>436</v>
      </c>
      <c r="K59" s="10">
        <v>5</v>
      </c>
      <c r="L59" s="74" t="str">
        <f>IF('Summed Data'!$E$58="","",'Summed Data'!$E$58)</f>
        <v>Includes only PC P-36:5 results.</v>
      </c>
      <c r="M59" s="8"/>
      <c r="N59" s="8"/>
      <c r="O59" s="8"/>
      <c r="P59" s="8"/>
      <c r="Q59" s="8"/>
      <c r="R59" s="8"/>
      <c r="S59" s="8"/>
      <c r="T59" s="8"/>
      <c r="U59" s="8"/>
      <c r="V59" s="8"/>
      <c r="W59" s="8"/>
      <c r="X59" s="8"/>
      <c r="Y59" s="8"/>
    </row>
    <row r="60" spans="1:25" ht="15.75" customHeight="1" x14ac:dyDescent="0.25">
      <c r="A60" s="8"/>
      <c r="B60" s="8" t="str">
        <f>'Summed Data'!$A59</f>
        <v>PC 36:6</v>
      </c>
      <c r="C60" s="63">
        <f>AVERAGE('Summed Data'!$B$59:$D$59)</f>
        <v>0.18680509367547635</v>
      </c>
      <c r="D60" s="8" t="s">
        <v>416</v>
      </c>
      <c r="E60" s="71">
        <f>_xlfn.STDEV.S('Summed Data'!$B$59:$D$59)</f>
        <v>4.6258093453773325E-2</v>
      </c>
      <c r="F60" s="8"/>
      <c r="G60" s="80" t="str">
        <f>FIXED('consensus values'!$H$119, 1-FLOOR(LOG10('consensus values'!$H$119),1))</f>
        <v>0.28</v>
      </c>
      <c r="H60" s="8" t="s">
        <v>416</v>
      </c>
      <c r="I60" s="82" t="str">
        <f>FIXED('consensus values'!$P$119, 1-FLOOR(LOG10('consensus values'!$P$119),1))</f>
        <v>0.088</v>
      </c>
      <c r="J60" s="10" t="s">
        <v>436</v>
      </c>
      <c r="K60" s="10">
        <v>8</v>
      </c>
      <c r="L60" s="74" t="str">
        <f>IF('Summed Data'!$E$59="","",'Summed Data'!$E$59)</f>
        <v/>
      </c>
      <c r="M60" s="8"/>
      <c r="N60" s="8"/>
      <c r="O60" s="8"/>
      <c r="P60" s="8"/>
      <c r="Q60" s="8"/>
      <c r="R60" s="8"/>
      <c r="S60" s="8"/>
      <c r="T60" s="8"/>
      <c r="U60" s="8"/>
      <c r="V60" s="8"/>
      <c r="W60" s="8"/>
      <c r="X60" s="8"/>
      <c r="Y60" s="8"/>
    </row>
    <row r="61" spans="1:25" ht="15.75" customHeight="1" x14ac:dyDescent="0.25">
      <c r="A61" s="8"/>
      <c r="B61" s="8" t="str">
        <f>'Summed Data'!$A60</f>
        <v>PC 38:2</v>
      </c>
      <c r="C61" s="63">
        <f>AVERAGE('Summed Data'!$B$60:$D$60)</f>
        <v>4.6680305095470134</v>
      </c>
      <c r="D61" s="8" t="s">
        <v>416</v>
      </c>
      <c r="E61" s="71">
        <f>_xlfn.STDEV.S('Summed Data'!$B$60:$D$60)</f>
        <v>1.0948718731711191</v>
      </c>
      <c r="F61" s="8"/>
      <c r="G61" s="80" t="str">
        <f>FIXED('consensus values'!$H$120, 1-FLOOR(LOG10('consensus values'!$H$120),1))</f>
        <v>2.3</v>
      </c>
      <c r="H61" s="8" t="s">
        <v>416</v>
      </c>
      <c r="I61" s="82" t="str">
        <f>FIXED('consensus values'!$P$120, 1-FLOOR(LOG10('consensus values'!$P$120),1))</f>
        <v>0.20</v>
      </c>
      <c r="J61" s="10" t="s">
        <v>436</v>
      </c>
      <c r="K61" s="10">
        <v>15</v>
      </c>
      <c r="L61" s="74" t="str">
        <f>IF('Summed Data'!$E$60="","",'Summed Data'!$E$60)</f>
        <v/>
      </c>
      <c r="M61" s="8"/>
      <c r="N61" s="8"/>
      <c r="O61" s="8"/>
      <c r="P61" s="8"/>
      <c r="Q61" s="8"/>
      <c r="R61" s="8"/>
      <c r="S61" s="8"/>
      <c r="T61" s="8"/>
      <c r="U61" s="8"/>
      <c r="V61" s="8"/>
      <c r="W61" s="8"/>
      <c r="X61" s="8"/>
      <c r="Y61" s="8"/>
    </row>
    <row r="62" spans="1:25" ht="15.75" customHeight="1" x14ac:dyDescent="0.25">
      <c r="A62" s="8"/>
      <c r="B62" s="8" t="str">
        <f>'Summed Data'!$A61</f>
        <v>PC O-38:2/37:2</v>
      </c>
      <c r="C62" s="63">
        <f>AVERAGE('Summed Data'!$B$61:$D$61)</f>
        <v>1.0223419391947897</v>
      </c>
      <c r="D62" s="8" t="s">
        <v>416</v>
      </c>
      <c r="E62" s="71">
        <f>_xlfn.STDEV.S('Summed Data'!$B$61:$D$61)</f>
        <v>8.2713648597518494E-2</v>
      </c>
      <c r="F62" s="8"/>
      <c r="G62" s="80" t="str">
        <f>FIXED('consensus values'!$H$121, 1-FLOOR(LOG10('consensus values'!$H$121),1))</f>
        <v>0.98</v>
      </c>
      <c r="H62" s="8" t="s">
        <v>416</v>
      </c>
      <c r="I62" s="82" t="str">
        <f>FIXED('consensus values'!$P$121, 1-FLOOR(LOG10('consensus values'!$P$121),1))</f>
        <v>0.32</v>
      </c>
      <c r="J62" s="10" t="s">
        <v>436</v>
      </c>
      <c r="K62" s="10">
        <v>6</v>
      </c>
      <c r="L62" s="74" t="str">
        <f>IF('Summed Data'!$E$61="","",'Summed Data'!$E$61)</f>
        <v>Includes only PC O-38:2 results.</v>
      </c>
      <c r="M62" s="8"/>
      <c r="N62" s="8"/>
      <c r="O62" s="8"/>
      <c r="P62" s="8"/>
      <c r="Q62" s="8"/>
      <c r="R62" s="8"/>
      <c r="S62" s="8"/>
      <c r="T62" s="8"/>
      <c r="U62" s="8"/>
      <c r="V62" s="8"/>
      <c r="W62" s="8"/>
      <c r="X62" s="8"/>
      <c r="Y62" s="8"/>
    </row>
    <row r="63" spans="1:25" ht="15.75" customHeight="1" x14ac:dyDescent="0.25">
      <c r="A63" s="8"/>
      <c r="B63" s="8" t="str">
        <f>'Summed Data'!$A62</f>
        <v>PC 38:3</v>
      </c>
      <c r="C63" s="63">
        <f>AVERAGE('Summed Data'!$B$62:$D$62)</f>
        <v>35.391820393120867</v>
      </c>
      <c r="D63" s="8" t="s">
        <v>416</v>
      </c>
      <c r="E63" s="71">
        <f>_xlfn.STDEV.S('Summed Data'!$B$62:$D$62)</f>
        <v>7.219297915632664</v>
      </c>
      <c r="F63" s="8"/>
      <c r="G63" s="80" t="str">
        <f>FIXED('consensus values'!$H$122, 1-FLOOR(LOG10('consensus values'!$H$122),1))</f>
        <v>26</v>
      </c>
      <c r="H63" s="8" t="s">
        <v>416</v>
      </c>
      <c r="I63" s="82" t="str">
        <f>FIXED('consensus values'!$P$122, 1-FLOOR(LOG10('consensus values'!$P$122),1))</f>
        <v>5.2</v>
      </c>
      <c r="J63" s="10" t="s">
        <v>436</v>
      </c>
      <c r="K63" s="10">
        <v>14</v>
      </c>
      <c r="L63" s="74" t="str">
        <f>IF('Summed Data'!$E$62="","",'Summed Data'!$E$62)</f>
        <v/>
      </c>
      <c r="M63" s="8"/>
      <c r="N63" s="8"/>
      <c r="O63" s="8"/>
      <c r="P63" s="8"/>
      <c r="Q63" s="8"/>
      <c r="R63" s="8"/>
      <c r="S63" s="8"/>
      <c r="T63" s="8"/>
      <c r="U63" s="8"/>
      <c r="V63" s="8"/>
      <c r="W63" s="8"/>
      <c r="X63" s="8"/>
      <c r="Y63" s="8"/>
    </row>
    <row r="64" spans="1:25" ht="15.75" customHeight="1" x14ac:dyDescent="0.25">
      <c r="A64" s="8"/>
      <c r="B64" s="8" t="str">
        <f>'Summed Data'!$A63</f>
        <v>PC O-38:3/P-38:2/37:3</v>
      </c>
      <c r="C64" s="63">
        <f>AVERAGE('Summed Data'!$B$63:$D$63)</f>
        <v>0.75018923575804575</v>
      </c>
      <c r="D64" s="8" t="s">
        <v>416</v>
      </c>
      <c r="E64" s="71">
        <f>_xlfn.STDEV.S('Summed Data'!$B$63:$D$63)</f>
        <v>0.18787394120328335</v>
      </c>
      <c r="F64" s="8"/>
      <c r="G64" s="80" t="str">
        <f>FIXED('consensus values'!$H$123, 1-FLOOR(LOG10('consensus values'!$H$123),1))</f>
        <v>1.5</v>
      </c>
      <c r="H64" s="8" t="s">
        <v>416</v>
      </c>
      <c r="I64" s="82" t="str">
        <f>FIXED('consensus values'!$P$123, 1-FLOOR(LOG10('consensus values'!$P$123),1))</f>
        <v>0.51</v>
      </c>
      <c r="J64" s="10" t="s">
        <v>436</v>
      </c>
      <c r="K64" s="10">
        <v>14</v>
      </c>
      <c r="L64" s="74" t="str">
        <f>IF('Summed Data'!$E$63="","",'Summed Data'!$E$63)</f>
        <v>Includes only only PC O-38:3 results.</v>
      </c>
      <c r="M64" s="8"/>
      <c r="N64" s="8"/>
      <c r="O64" s="8"/>
      <c r="P64" s="8"/>
      <c r="Q64" s="8"/>
      <c r="R64" s="8"/>
      <c r="S64" s="8"/>
      <c r="T64" s="8"/>
      <c r="U64" s="8"/>
      <c r="V64" s="8"/>
      <c r="W64" s="8"/>
      <c r="X64" s="8"/>
      <c r="Y64" s="8"/>
    </row>
    <row r="65" spans="1:25" ht="15.75" customHeight="1" x14ac:dyDescent="0.25">
      <c r="A65" s="8"/>
      <c r="B65" s="8" t="str">
        <f>'Summed Data'!$A64</f>
        <v>PC 38:4</v>
      </c>
      <c r="C65" s="63">
        <f>AVERAGE('Summed Data'!$B$64:$D$64)</f>
        <v>68.628823219987126</v>
      </c>
      <c r="D65" s="8" t="s">
        <v>416</v>
      </c>
      <c r="E65" s="71">
        <f>_xlfn.STDEV.S('Summed Data'!$B$64:$D$64)</f>
        <v>12.311348029563042</v>
      </c>
      <c r="F65" s="8"/>
      <c r="G65" s="80" t="str">
        <f>FIXED('consensus values'!$H$124, 1-FLOOR(LOG10('consensus values'!$H$124),1))</f>
        <v>84</v>
      </c>
      <c r="H65" s="8" t="s">
        <v>416</v>
      </c>
      <c r="I65" s="82" t="str">
        <f>FIXED('consensus values'!$P$124, 1-FLOOR(LOG10('consensus values'!$P$124),1))</f>
        <v>14</v>
      </c>
      <c r="J65" s="10" t="s">
        <v>436</v>
      </c>
      <c r="K65" s="10">
        <v>18</v>
      </c>
      <c r="L65" s="74" t="str">
        <f>IF('Summed Data'!$E$64="","",'Summed Data'!$E$64)</f>
        <v/>
      </c>
      <c r="M65" s="8"/>
      <c r="N65" s="8"/>
      <c r="O65" s="8"/>
      <c r="P65" s="8"/>
      <c r="Q65" s="8"/>
      <c r="R65" s="8"/>
      <c r="S65" s="8"/>
      <c r="T65" s="8"/>
      <c r="U65" s="8"/>
      <c r="V65" s="8"/>
      <c r="W65" s="8"/>
      <c r="X65" s="8"/>
      <c r="Y65" s="8"/>
    </row>
    <row r="66" spans="1:25" ht="15.75" customHeight="1" x14ac:dyDescent="0.25">
      <c r="A66" s="8"/>
      <c r="B66" s="8" t="str">
        <f>'Summed Data'!$A65</f>
        <v>PC O-38:4/P-38:3/37:4</v>
      </c>
      <c r="C66" s="63">
        <f>AVERAGE('Summed Data'!$B$65:$D$65)</f>
        <v>5.2297672544748162</v>
      </c>
      <c r="D66" s="8" t="s">
        <v>416</v>
      </c>
      <c r="E66" s="71">
        <f>_xlfn.STDEV.S('Summed Data'!$B$65:$D$65)</f>
        <v>1.015793223387921</v>
      </c>
      <c r="F66" s="8"/>
      <c r="G66" s="80" t="str">
        <f>FIXED('consensus values'!$H$125, 1-FLOOR(LOG10('consensus values'!$H$125),1))</f>
        <v>7.4</v>
      </c>
      <c r="H66" s="8" t="s">
        <v>416</v>
      </c>
      <c r="I66" s="82" t="str">
        <f>FIXED('consensus values'!$P$125, 1-FLOOR(LOG10('consensus values'!$P$125),1))</f>
        <v>2.0</v>
      </c>
      <c r="J66" s="10" t="s">
        <v>436</v>
      </c>
      <c r="K66" s="10">
        <v>12</v>
      </c>
      <c r="L66" s="74" t="str">
        <f>IF('Summed Data'!$E$65="","",'Summed Data'!$E$65)</f>
        <v>Includes only only PC O-38:4 results.</v>
      </c>
      <c r="M66" s="8"/>
      <c r="N66" s="8"/>
      <c r="O66" s="8"/>
      <c r="P66" s="8"/>
      <c r="Q66" s="8"/>
      <c r="R66" s="8"/>
      <c r="S66" s="8"/>
      <c r="T66" s="8"/>
      <c r="U66" s="8"/>
      <c r="V66" s="8"/>
      <c r="W66" s="8"/>
      <c r="X66" s="8"/>
      <c r="Y66" s="8"/>
    </row>
    <row r="67" spans="1:25" ht="15.75" customHeight="1" x14ac:dyDescent="0.25">
      <c r="A67" s="8"/>
      <c r="B67" s="8" t="str">
        <f>'Summed Data'!$A66</f>
        <v>PC 38:5</v>
      </c>
      <c r="C67" s="63">
        <f>AVERAGE('Summed Data'!$B$66:$D$66)</f>
        <v>11.446759152827964</v>
      </c>
      <c r="D67" s="8" t="s">
        <v>416</v>
      </c>
      <c r="E67" s="71">
        <f>_xlfn.STDEV.S('Summed Data'!$B$66:$D$66)</f>
        <v>2.2002558837186252</v>
      </c>
      <c r="F67" s="8"/>
      <c r="G67" s="80" t="str">
        <f>FIXED('consensus values'!$H$126, 1-FLOOR(LOG10('consensus values'!$H$126),1))</f>
        <v>42</v>
      </c>
      <c r="H67" s="8" t="s">
        <v>416</v>
      </c>
      <c r="I67" s="82" t="str">
        <f>FIXED('consensus values'!$P$126, 1-FLOOR(LOG10('consensus values'!$P$126),1))</f>
        <v>7.9</v>
      </c>
      <c r="J67" s="10" t="s">
        <v>436</v>
      </c>
      <c r="K67" s="10">
        <v>18</v>
      </c>
      <c r="L67" s="74" t="str">
        <f>IF('Summed Data'!$E$66="","",'Summed Data'!$E$66)</f>
        <v/>
      </c>
      <c r="M67" s="8"/>
      <c r="N67" s="8"/>
      <c r="O67" s="8"/>
      <c r="P67" s="8"/>
      <c r="Q67" s="8"/>
      <c r="R67" s="8"/>
      <c r="S67" s="8"/>
      <c r="T67" s="8"/>
      <c r="U67" s="8"/>
      <c r="V67" s="8"/>
      <c r="W67" s="8"/>
      <c r="X67" s="8"/>
      <c r="Y67" s="8"/>
    </row>
    <row r="68" spans="1:25" ht="15.75" customHeight="1" x14ac:dyDescent="0.25">
      <c r="A68" s="8"/>
      <c r="B68" s="8" t="str">
        <f>'Summed Data'!$A67</f>
        <v>PC O-38:5/P-38:4/37:5</v>
      </c>
      <c r="C68" s="63">
        <f>AVERAGE('Summed Data'!$B$67:$D$67)</f>
        <v>7.6237629006308607</v>
      </c>
      <c r="D68" s="8" t="s">
        <v>416</v>
      </c>
      <c r="E68" s="71">
        <f>_xlfn.STDEV.S('Summed Data'!$B$67:$D$67)</f>
        <v>1.3489510128969893</v>
      </c>
      <c r="F68" s="8"/>
      <c r="G68" s="80" t="str">
        <f>FIXED('consensus values'!$H$127, 1-FLOOR(LOG10('consensus values'!$H$127),1))</f>
        <v>11</v>
      </c>
      <c r="H68" s="8" t="s">
        <v>416</v>
      </c>
      <c r="I68" s="82" t="str">
        <f>FIXED('consensus values'!$P$127, 1-FLOOR(LOG10('consensus values'!$P$127),1))</f>
        <v>1.6</v>
      </c>
      <c r="J68" s="10" t="s">
        <v>436</v>
      </c>
      <c r="K68" s="10">
        <v>16</v>
      </c>
      <c r="L68" s="74" t="str">
        <f>IF('Summed Data'!$E$67="","",'Summed Data'!$E$67)</f>
        <v>Includes only only PC O-38:5 results.</v>
      </c>
      <c r="M68" s="8"/>
      <c r="N68" s="8"/>
      <c r="O68" s="8"/>
      <c r="P68" s="8"/>
      <c r="Q68" s="8"/>
      <c r="R68" s="8"/>
      <c r="S68" s="8"/>
      <c r="T68" s="8"/>
      <c r="U68" s="8"/>
      <c r="V68" s="8"/>
      <c r="W68" s="8"/>
      <c r="X68" s="8"/>
      <c r="Y68" s="8"/>
    </row>
    <row r="69" spans="1:25" ht="15.75" customHeight="1" x14ac:dyDescent="0.25">
      <c r="A69" s="8"/>
      <c r="B69" s="8" t="str">
        <f>'Summed Data'!$A68</f>
        <v>PC 38:6</v>
      </c>
      <c r="C69" s="63">
        <f>AVERAGE('Summed Data'!$B$68:$D$68)</f>
        <v>23.328009951430303</v>
      </c>
      <c r="D69" s="8" t="s">
        <v>416</v>
      </c>
      <c r="E69" s="71">
        <f>_xlfn.STDEV.S('Summed Data'!$B$68:$D$68)</f>
        <v>4.4726686491067156</v>
      </c>
      <c r="F69" s="8"/>
      <c r="G69" s="80" t="str">
        <f>FIXED('consensus values'!$H$128, 1-FLOOR(LOG10('consensus values'!$H$128),1))</f>
        <v>41</v>
      </c>
      <c r="H69" s="8" t="s">
        <v>416</v>
      </c>
      <c r="I69" s="82" t="str">
        <f>FIXED('consensus values'!$P$128, 1-FLOOR(LOG10('consensus values'!$P$128),1))</f>
        <v>4.4</v>
      </c>
      <c r="J69" s="10" t="s">
        <v>436</v>
      </c>
      <c r="K69" s="10">
        <v>18</v>
      </c>
      <c r="L69" s="74" t="str">
        <f>IF('Summed Data'!$E$68="","",'Summed Data'!$E$68)</f>
        <v/>
      </c>
      <c r="M69" s="8"/>
      <c r="N69" s="8"/>
      <c r="O69" s="8"/>
      <c r="P69" s="8"/>
      <c r="Q69" s="8"/>
      <c r="R69" s="8"/>
      <c r="S69" s="8"/>
      <c r="T69" s="8"/>
      <c r="U69" s="8"/>
      <c r="V69" s="8"/>
      <c r="W69" s="8"/>
      <c r="X69" s="8"/>
      <c r="Y69" s="8"/>
    </row>
    <row r="70" spans="1:25" ht="15.75" customHeight="1" x14ac:dyDescent="0.25">
      <c r="A70" s="8"/>
      <c r="B70" s="8" t="str">
        <f>'Summed Data'!$A69</f>
        <v>PC O-38:6/P-38:5/37:6</v>
      </c>
      <c r="C70" s="63">
        <f>AVERAGE('Summed Data'!$B$69:$D$69)</f>
        <v>1.8946776775543899</v>
      </c>
      <c r="D70" s="8" t="s">
        <v>416</v>
      </c>
      <c r="E70" s="71">
        <f>_xlfn.STDEV.S('Summed Data'!$B$69:$D$69)</f>
        <v>0.29458804059144533</v>
      </c>
      <c r="F70" s="8"/>
      <c r="G70" s="80" t="str">
        <f>FIXED('consensus values'!$H$129, 1-FLOOR(LOG10('consensus values'!$H$129),1))</f>
        <v>3.6</v>
      </c>
      <c r="H70" s="8" t="s">
        <v>416</v>
      </c>
      <c r="I70" s="82" t="str">
        <f>FIXED('consensus values'!$P$129, 1-FLOOR(LOG10('consensus values'!$P$129),1))</f>
        <v>1.0</v>
      </c>
      <c r="J70" s="10" t="s">
        <v>436</v>
      </c>
      <c r="K70" s="10">
        <v>12</v>
      </c>
      <c r="L70" s="74" t="str">
        <f>IF('Summed Data'!$E$69="","",'Summed Data'!$E$69)</f>
        <v>Includes only only PC O-38:6 results.</v>
      </c>
      <c r="M70" s="8"/>
      <c r="N70" s="8"/>
      <c r="O70" s="8"/>
      <c r="P70" s="8"/>
      <c r="Q70" s="8"/>
      <c r="R70" s="8"/>
      <c r="S70" s="8"/>
      <c r="T70" s="8"/>
      <c r="U70" s="8"/>
      <c r="V70" s="8"/>
      <c r="W70" s="8"/>
      <c r="X70" s="8"/>
      <c r="Y70" s="8"/>
    </row>
    <row r="71" spans="1:25" ht="15.75" customHeight="1" x14ac:dyDescent="0.25">
      <c r="A71" s="8"/>
      <c r="B71" s="8" t="str">
        <f>'Summed Data'!$A70</f>
        <v>PC P-38:6/36:0</v>
      </c>
      <c r="C71" s="63">
        <f>AVERAGE('Summed Data'!$B$70:$D$70)</f>
        <v>0.28048457689816236</v>
      </c>
      <c r="D71" s="8" t="s">
        <v>416</v>
      </c>
      <c r="E71" s="71">
        <f>_xlfn.STDEV.S('Summed Data'!$B$70:$D$70)</f>
        <v>6.5305558337562353E-2</v>
      </c>
      <c r="F71" s="8"/>
      <c r="G71" s="80" t="str">
        <f>FIXED('consensus values'!$H$130, 1-FLOOR(LOG10('consensus values'!$H$130),1))</f>
        <v>1.2</v>
      </c>
      <c r="H71" s="8" t="s">
        <v>416</v>
      </c>
      <c r="I71" s="82" t="str">
        <f>FIXED('consensus values'!$P$130, 1-FLOOR(LOG10('consensus values'!$P$130),1))</f>
        <v>0.39</v>
      </c>
      <c r="J71" s="10" t="s">
        <v>436</v>
      </c>
      <c r="K71" s="10">
        <v>10</v>
      </c>
      <c r="L71" s="74" t="str">
        <f>IF('Summed Data'!$E$70="","",'Summed Data'!$E$70)</f>
        <v>Includes only PC P-38:6 results.</v>
      </c>
      <c r="M71" s="8"/>
      <c r="N71" s="8"/>
      <c r="O71" s="8"/>
      <c r="P71" s="8"/>
      <c r="Q71" s="8"/>
      <c r="R71" s="8"/>
      <c r="S71" s="8"/>
      <c r="T71" s="8"/>
      <c r="U71" s="8"/>
      <c r="V71" s="8"/>
      <c r="W71" s="8"/>
      <c r="X71" s="8"/>
      <c r="Y71" s="8"/>
    </row>
    <row r="72" spans="1:25" ht="15.75" customHeight="1" x14ac:dyDescent="0.25">
      <c r="A72" s="8"/>
      <c r="B72" s="8" t="str">
        <f>'Summed Data'!$A71</f>
        <v>PC 40:4</v>
      </c>
      <c r="C72" s="63">
        <f>AVERAGE('Summed Data'!$B$71:$D$71)</f>
        <v>4.0337438743216198</v>
      </c>
      <c r="D72" s="8" t="s">
        <v>416</v>
      </c>
      <c r="E72" s="71">
        <f>_xlfn.STDEV.S('Summed Data'!$B$71:$D$71)</f>
        <v>0.88286412323964569</v>
      </c>
      <c r="F72" s="8"/>
      <c r="G72" s="80" t="str">
        <f>FIXED('consensus values'!$H$131, 1-FLOOR(LOG10('consensus values'!$H$131),1))</f>
        <v>2.9</v>
      </c>
      <c r="H72" s="8" t="s">
        <v>416</v>
      </c>
      <c r="I72" s="82" t="str">
        <f>FIXED('consensus values'!$P$131, 1-FLOOR(LOG10('consensus values'!$P$131),1))</f>
        <v>0.37</v>
      </c>
      <c r="J72" s="10" t="s">
        <v>436</v>
      </c>
      <c r="K72" s="10">
        <v>18</v>
      </c>
      <c r="L72" s="74" t="str">
        <f>IF('Summed Data'!$E$71="","",'Summed Data'!$E$71)</f>
        <v/>
      </c>
      <c r="M72" s="8"/>
      <c r="N72" s="8"/>
      <c r="O72" s="8"/>
      <c r="P72" s="8"/>
      <c r="Q72" s="8"/>
      <c r="R72" s="8"/>
      <c r="S72" s="8"/>
      <c r="T72" s="8"/>
      <c r="U72" s="8"/>
      <c r="V72" s="8"/>
      <c r="W72" s="8"/>
      <c r="X72" s="8"/>
      <c r="Y72" s="8"/>
    </row>
    <row r="73" spans="1:25" ht="15.75" customHeight="1" x14ac:dyDescent="0.25">
      <c r="A73" s="8"/>
      <c r="B73" s="8" t="str">
        <f>'Summed Data'!$A72</f>
        <v>PC O-40:4/P-40:3/39:4</v>
      </c>
      <c r="C73" s="63">
        <f>AVERAGE('Summed Data'!$B$72:$D$72)</f>
        <v>0.87340872552098903</v>
      </c>
      <c r="D73" s="8" t="s">
        <v>416</v>
      </c>
      <c r="E73" s="71">
        <f>_xlfn.STDEV.S('Summed Data'!$B$72:$D$72)</f>
        <v>0.21206030990093541</v>
      </c>
      <c r="F73" s="8"/>
      <c r="G73" s="80" t="str">
        <f>FIXED('consensus values'!$H$133, 1-FLOOR(LOG10('consensus values'!$H$133),1))</f>
        <v>0.95</v>
      </c>
      <c r="H73" s="8" t="s">
        <v>416</v>
      </c>
      <c r="I73" s="82" t="str">
        <f>FIXED('consensus values'!$P$133, 1-FLOOR(LOG10('consensus values'!$P$133),1))</f>
        <v>0.38</v>
      </c>
      <c r="J73" s="10" t="s">
        <v>436</v>
      </c>
      <c r="K73" s="10">
        <v>8</v>
      </c>
      <c r="L73" s="74" t="str">
        <f>IF('Summed Data'!$E$72="","",'Summed Data'!$E$72)</f>
        <v>Includes only only PC O-40:4 results.</v>
      </c>
      <c r="M73" s="8"/>
      <c r="N73" s="8"/>
      <c r="O73" s="8"/>
      <c r="P73" s="8"/>
      <c r="Q73" s="8"/>
      <c r="R73" s="8"/>
      <c r="S73" s="8"/>
      <c r="T73" s="8"/>
      <c r="U73" s="8"/>
      <c r="V73" s="8"/>
      <c r="W73" s="8"/>
      <c r="X73" s="8"/>
      <c r="Y73" s="8"/>
    </row>
    <row r="74" spans="1:25" ht="15.75" customHeight="1" x14ac:dyDescent="0.25">
      <c r="A74" s="8"/>
      <c r="B74" s="8" t="str">
        <f>'Summed Data'!$A73</f>
        <v>PC 40:5</v>
      </c>
      <c r="C74" s="63">
        <f>AVERAGE('Summed Data'!$B$73:$D$73)</f>
        <v>3.8551211246036736</v>
      </c>
      <c r="D74" s="8" t="s">
        <v>416</v>
      </c>
      <c r="E74" s="71">
        <f>_xlfn.STDEV.S('Summed Data'!$B$73:$D$73)</f>
        <v>0.7560783502758418</v>
      </c>
      <c r="F74" s="8"/>
      <c r="G74" s="80" t="str">
        <f>FIXED('consensus values'!$H$134, 1-FLOOR(LOG10('consensus values'!$H$134),1))</f>
        <v>6.7</v>
      </c>
      <c r="H74" s="8" t="s">
        <v>416</v>
      </c>
      <c r="I74" s="82" t="str">
        <f>FIXED('consensus values'!$P$134, 1-FLOOR(LOG10('consensus values'!$P$134),1))</f>
        <v>1.1</v>
      </c>
      <c r="J74" s="10" t="s">
        <v>436</v>
      </c>
      <c r="K74" s="10">
        <v>18</v>
      </c>
      <c r="L74" s="74" t="str">
        <f>IF('Summed Data'!$E$73="","",'Summed Data'!$E$73)</f>
        <v/>
      </c>
      <c r="M74" s="8"/>
      <c r="N74" s="8"/>
      <c r="O74" s="8"/>
      <c r="P74" s="8"/>
      <c r="Q74" s="8"/>
      <c r="R74" s="8"/>
      <c r="S74" s="8"/>
      <c r="T74" s="8"/>
      <c r="U74" s="8"/>
      <c r="V74" s="8"/>
      <c r="W74" s="8"/>
      <c r="X74" s="8"/>
      <c r="Y74" s="8"/>
    </row>
    <row r="75" spans="1:25" ht="15.75" customHeight="1" x14ac:dyDescent="0.25">
      <c r="A75" s="8"/>
      <c r="B75" s="8" t="str">
        <f>'Summed Data'!$A74</f>
        <v>PC O-40:5/P-40:4/39:5</v>
      </c>
      <c r="C75" s="63">
        <f>AVERAGE('Summed Data'!$B$74:$D$74)</f>
        <v>1.2517647671216734</v>
      </c>
      <c r="D75" s="8" t="s">
        <v>416</v>
      </c>
      <c r="E75" s="71">
        <f>_xlfn.STDEV.S('Summed Data'!$B$74:$D$74)</f>
        <v>0.2362885862971047</v>
      </c>
      <c r="F75" s="8"/>
      <c r="G75" s="80" t="str">
        <f>FIXED('consensus values'!$H$135, 1-FLOOR(LOG10('consensus values'!$H$135),1))</f>
        <v>1.7</v>
      </c>
      <c r="H75" s="8" t="s">
        <v>416</v>
      </c>
      <c r="I75" s="82" t="str">
        <f>FIXED('consensus values'!$P$135, 1-FLOOR(LOG10('consensus values'!$P$135),1))</f>
        <v>0.45</v>
      </c>
      <c r="J75" s="10" t="s">
        <v>436</v>
      </c>
      <c r="K75" s="10">
        <v>12</v>
      </c>
      <c r="L75" s="74" t="str">
        <f>IF('Summed Data'!$E$74="","",'Summed Data'!$E$74)</f>
        <v>Includes only only PC O-40:5 results.</v>
      </c>
      <c r="M75" s="8"/>
      <c r="N75" s="8"/>
      <c r="O75" s="8"/>
      <c r="P75" s="8"/>
      <c r="Q75" s="8"/>
      <c r="R75" s="8"/>
      <c r="S75" s="8"/>
      <c r="T75" s="8"/>
      <c r="U75" s="8"/>
      <c r="V75" s="8"/>
      <c r="W75" s="8"/>
      <c r="X75" s="8"/>
      <c r="Y75" s="8"/>
    </row>
    <row r="76" spans="1:25" ht="15.75" customHeight="1" x14ac:dyDescent="0.25">
      <c r="A76" s="8"/>
      <c r="B76" s="8" t="str">
        <f>'Summed Data'!$A75</f>
        <v>PC 40:6</v>
      </c>
      <c r="C76" s="63">
        <f>AVERAGE('Summed Data'!$B$75:$D$75)</f>
        <v>11.009265619768103</v>
      </c>
      <c r="D76" s="8" t="s">
        <v>416</v>
      </c>
      <c r="E76" s="71">
        <f>_xlfn.STDEV.S('Summed Data'!$B$75:$D$75)</f>
        <v>2.2094215595951763</v>
      </c>
      <c r="F76" s="8"/>
      <c r="G76" s="80" t="str">
        <f>FIXED('consensus values'!$H$136, 1-FLOOR(LOG10('consensus values'!$H$136),1))</f>
        <v>14</v>
      </c>
      <c r="H76" s="8" t="s">
        <v>416</v>
      </c>
      <c r="I76" s="82" t="str">
        <f>FIXED('consensus values'!$P$136, 1-FLOOR(LOG10('consensus values'!$P$136),1))</f>
        <v>2.6</v>
      </c>
      <c r="J76" s="10" t="s">
        <v>436</v>
      </c>
      <c r="K76" s="10">
        <v>17</v>
      </c>
      <c r="L76" s="74" t="str">
        <f>IF('Summed Data'!$E$75="","",'Summed Data'!$E$75)</f>
        <v/>
      </c>
      <c r="M76" s="8"/>
      <c r="N76" s="8"/>
      <c r="O76" s="8"/>
      <c r="P76" s="8"/>
      <c r="Q76" s="8"/>
      <c r="R76" s="8"/>
      <c r="S76" s="8"/>
      <c r="T76" s="8"/>
      <c r="U76" s="8"/>
      <c r="V76" s="8"/>
      <c r="W76" s="8"/>
      <c r="X76" s="8"/>
      <c r="Y76" s="8"/>
    </row>
    <row r="77" spans="1:25" ht="15.75" customHeight="1" x14ac:dyDescent="0.25">
      <c r="A77" s="8"/>
      <c r="B77" s="8" t="str">
        <f>'Summed Data'!$A76</f>
        <v>PC 40:7</v>
      </c>
      <c r="C77" s="63">
        <f>AVERAGE('Summed Data'!$B$76:$D$76)</f>
        <v>1.3671235412265599</v>
      </c>
      <c r="D77" s="8" t="s">
        <v>416</v>
      </c>
      <c r="E77" s="71">
        <f>_xlfn.STDEV.S('Summed Data'!$B$76:$D$76)</f>
        <v>0.18465506177655949</v>
      </c>
      <c r="F77" s="8"/>
      <c r="G77" s="80" t="str">
        <f>FIXED('consensus values'!$H$137, 1-FLOOR(LOG10('consensus values'!$H$137),1))</f>
        <v>3.5</v>
      </c>
      <c r="H77" s="8" t="s">
        <v>416</v>
      </c>
      <c r="I77" s="82" t="str">
        <f>FIXED('consensus values'!$P$137, 1-FLOOR(LOG10('consensus values'!$P$137),1))</f>
        <v>0.26</v>
      </c>
      <c r="J77" s="10" t="s">
        <v>436</v>
      </c>
      <c r="K77" s="10">
        <v>16</v>
      </c>
      <c r="L77" s="74" t="str">
        <f>IF('Summed Data'!$E$76="","",'Summed Data'!$E$76)</f>
        <v/>
      </c>
      <c r="M77" s="8"/>
      <c r="N77" s="8"/>
      <c r="O77" s="8"/>
      <c r="P77" s="8"/>
      <c r="Q77" s="8"/>
      <c r="R77" s="8"/>
      <c r="S77" s="8"/>
      <c r="T77" s="8"/>
      <c r="U77" s="8"/>
      <c r="V77" s="8"/>
      <c r="W77" s="8"/>
      <c r="X77" s="8"/>
      <c r="Y77" s="8"/>
    </row>
    <row r="78" spans="1:25" ht="15.75" customHeight="1" x14ac:dyDescent="0.25">
      <c r="A78" s="8"/>
      <c r="B78" s="8" t="str">
        <f>'Summed Data'!$A77</f>
        <v>PC O-40:7/P-40:6/39:7</v>
      </c>
      <c r="C78" s="63">
        <f>AVERAGE('Summed Data'!$B$77:$D$77)</f>
        <v>0.51771825611868327</v>
      </c>
      <c r="D78" s="8" t="s">
        <v>416</v>
      </c>
      <c r="E78" s="71">
        <f>_xlfn.STDEV.S('Summed Data'!$B$77:$D$77)</f>
        <v>0.10768190882030031</v>
      </c>
      <c r="F78" s="8"/>
      <c r="G78" s="80" t="str">
        <f>FIXED('consensus values'!$H$138, 1-FLOOR(LOG10('consensus values'!$H$138),1))</f>
        <v>1.1</v>
      </c>
      <c r="H78" s="8" t="s">
        <v>416</v>
      </c>
      <c r="I78" s="82" t="str">
        <f>FIXED('consensus values'!$P$138, 1-FLOOR(LOG10('consensus values'!$P$138),1))</f>
        <v>0.23</v>
      </c>
      <c r="J78" s="10" t="s">
        <v>436</v>
      </c>
      <c r="K78" s="10">
        <v>9</v>
      </c>
      <c r="L78" s="74" t="str">
        <f>IF('Summed Data'!$E$77="","",'Summed Data'!$E$77)</f>
        <v>Includes only only PC O-40:7 results.</v>
      </c>
      <c r="M78" s="8"/>
      <c r="N78" s="8"/>
      <c r="O78" s="8"/>
      <c r="P78" s="8"/>
      <c r="Q78" s="8"/>
      <c r="R78" s="8"/>
      <c r="S78" s="8"/>
      <c r="T78" s="8"/>
      <c r="U78" s="8"/>
      <c r="V78" s="8"/>
      <c r="W78" s="8"/>
      <c r="X78" s="8"/>
      <c r="Y78" s="8"/>
    </row>
    <row r="79" spans="1:25" ht="15.75" customHeight="1" x14ac:dyDescent="0.25">
      <c r="A79" s="8"/>
      <c r="B79" s="8" t="str">
        <f>'Summed Data'!$A78</f>
        <v>PC 40:8</v>
      </c>
      <c r="C79" s="63">
        <f>AVERAGE('Summed Data'!$B$78:$D$78)</f>
        <v>0.6062091316621111</v>
      </c>
      <c r="D79" s="8" t="s">
        <v>416</v>
      </c>
      <c r="E79" s="71">
        <f>_xlfn.STDEV.S('Summed Data'!$B$78:$D$78)</f>
        <v>0.11475716082685883</v>
      </c>
      <c r="F79" s="8"/>
      <c r="G79" s="80" t="str">
        <f>FIXED('consensus values'!$H$139, 1-FLOOR(LOG10('consensus values'!$H$139),1))</f>
        <v>0.73</v>
      </c>
      <c r="H79" s="8" t="s">
        <v>416</v>
      </c>
      <c r="I79" s="82" t="str">
        <f>FIXED('consensus values'!$P$139, 1-FLOOR(LOG10('consensus values'!$P$139),1))</f>
        <v>0.20</v>
      </c>
      <c r="J79" s="10" t="s">
        <v>436</v>
      </c>
      <c r="K79" s="10">
        <v>14</v>
      </c>
      <c r="L79" s="74" t="str">
        <f>IF('Summed Data'!$E$78="","",'Summed Data'!$E$78)</f>
        <v/>
      </c>
      <c r="M79" s="8"/>
      <c r="N79" s="8"/>
      <c r="O79" s="8"/>
      <c r="P79" s="8"/>
      <c r="Q79" s="8"/>
      <c r="R79" s="8"/>
      <c r="S79" s="8"/>
      <c r="T79" s="8"/>
      <c r="U79" s="8"/>
      <c r="V79" s="8"/>
      <c r="W79" s="8"/>
      <c r="X79" s="8"/>
      <c r="Y79" s="8"/>
    </row>
    <row r="80" spans="1:25" ht="15.75" customHeight="1" x14ac:dyDescent="0.25">
      <c r="A80" s="8"/>
      <c r="B80" s="8" t="str">
        <f>'Summed Data'!$A79</f>
        <v>PC O-42:5/P-42:4</v>
      </c>
      <c r="C80" s="63">
        <f>AVERAGE('Summed Data'!$B$79:$D$79)</f>
        <v>1.5226452315816499</v>
      </c>
      <c r="D80" s="8" t="s">
        <v>416</v>
      </c>
      <c r="E80" s="71">
        <f>_xlfn.STDEV.S('Summed Data'!$B$79:$D$79)</f>
        <v>0.26169090767565728</v>
      </c>
      <c r="F80" s="8"/>
      <c r="G80" s="80" t="str">
        <f>FIXED('consensus values'!$H$140, 1-FLOOR(LOG10('consensus values'!$H$140),1))</f>
        <v>0.79</v>
      </c>
      <c r="H80" s="8" t="s">
        <v>416</v>
      </c>
      <c r="I80" s="82" t="str">
        <f>FIXED('consensus values'!$P$140, 1-FLOOR(LOG10('consensus values'!$P$140),1))</f>
        <v>0.12</v>
      </c>
      <c r="J80" s="10" t="s">
        <v>436</v>
      </c>
      <c r="K80" s="10">
        <v>7</v>
      </c>
      <c r="L80" s="74" t="str">
        <f>IF('Summed Data'!$E$79="","",'Summed Data'!$E$79)</f>
        <v>Includes only PC O-42:5 results.</v>
      </c>
      <c r="M80" s="8"/>
      <c r="N80" s="8"/>
      <c r="O80" s="8"/>
      <c r="P80" s="8"/>
      <c r="Q80" s="8"/>
      <c r="R80" s="8"/>
      <c r="S80" s="8"/>
      <c r="T80" s="8"/>
      <c r="U80" s="8"/>
      <c r="V80" s="8"/>
      <c r="W80" s="8"/>
      <c r="X80" s="8"/>
      <c r="Y80" s="8"/>
    </row>
    <row r="81" spans="1:25" ht="15.75" customHeight="1" x14ac:dyDescent="0.25">
      <c r="A81" s="8"/>
      <c r="B81" s="8" t="str">
        <f>'Summed Data'!$A80</f>
        <v>PE 34:1</v>
      </c>
      <c r="C81" s="63">
        <f>AVERAGE('Summed Data'!$B$80:$D$80)</f>
        <v>0.37603295863290165</v>
      </c>
      <c r="D81" s="8" t="s">
        <v>416</v>
      </c>
      <c r="E81" s="71">
        <f>_xlfn.STDEV.S('Summed Data'!$B$80:$D$80)</f>
        <v>6.8143284750681234E-3</v>
      </c>
      <c r="F81" s="8"/>
      <c r="G81" s="80" t="str">
        <f>FIXED('consensus values'!$H$142, 1-FLOOR(LOG10('consensus values'!$H$142),1))</f>
        <v>1.2</v>
      </c>
      <c r="H81" s="8" t="s">
        <v>416</v>
      </c>
      <c r="I81" s="82" t="str">
        <f>FIXED('consensus values'!$P$142, 1-FLOOR(LOG10('consensus values'!$P$142),1))</f>
        <v>0.17</v>
      </c>
      <c r="J81" s="10" t="s">
        <v>436</v>
      </c>
      <c r="K81" s="10">
        <v>14</v>
      </c>
      <c r="L81" s="74" t="str">
        <f>IF('Summed Data'!$E$80="","",'Summed Data'!$E$80)</f>
        <v/>
      </c>
      <c r="M81" s="8"/>
      <c r="N81" s="8"/>
      <c r="O81" s="8"/>
      <c r="P81" s="8"/>
      <c r="Q81" s="8"/>
      <c r="R81" s="8"/>
      <c r="S81" s="8"/>
      <c r="T81" s="8"/>
      <c r="U81" s="8"/>
      <c r="V81" s="8"/>
      <c r="W81" s="8"/>
      <c r="X81" s="8"/>
      <c r="Y81" s="8"/>
    </row>
    <row r="82" spans="1:25" ht="15.75" customHeight="1" x14ac:dyDescent="0.25">
      <c r="A82" s="8"/>
      <c r="B82" s="8" t="str">
        <f>'Summed Data'!$A81</f>
        <v>PE 34:2</v>
      </c>
      <c r="C82" s="63">
        <f>AVERAGE('Summed Data'!$B$81:$D$81)</f>
        <v>0.77811097946066177</v>
      </c>
      <c r="D82" s="8" t="s">
        <v>416</v>
      </c>
      <c r="E82" s="71">
        <f>_xlfn.STDEV.S('Summed Data'!$B$81:$D$81)</f>
        <v>3.9742104777075578E-2</v>
      </c>
      <c r="F82" s="8"/>
      <c r="G82" s="80" t="str">
        <f>FIXED('consensus values'!$H$143, 1-FLOOR(LOG10('consensus values'!$H$143),1))</f>
        <v>2.2</v>
      </c>
      <c r="H82" s="8" t="s">
        <v>416</v>
      </c>
      <c r="I82" s="82" t="str">
        <f>FIXED('consensus values'!$P$143, 1-FLOOR(LOG10('consensus values'!$P$143),1))</f>
        <v>0.26</v>
      </c>
      <c r="J82" s="10" t="s">
        <v>436</v>
      </c>
      <c r="K82" s="10">
        <v>16</v>
      </c>
      <c r="L82" s="74" t="str">
        <f>IF('Summed Data'!$E$81="","",'Summed Data'!$E$81)</f>
        <v/>
      </c>
      <c r="M82" s="8"/>
      <c r="N82" s="8"/>
      <c r="O82" s="8"/>
      <c r="P82" s="8"/>
      <c r="Q82" s="8"/>
      <c r="R82" s="8"/>
      <c r="S82" s="8"/>
      <c r="T82" s="8"/>
      <c r="U82" s="8"/>
      <c r="V82" s="8"/>
      <c r="W82" s="8"/>
      <c r="X82" s="8"/>
      <c r="Y82" s="8"/>
    </row>
    <row r="83" spans="1:25" ht="15.75" customHeight="1" x14ac:dyDescent="0.25">
      <c r="A83" s="8"/>
      <c r="B83" s="8" t="str">
        <f>'Summed Data'!$A82</f>
        <v>PE O-34:2/P-34:1</v>
      </c>
      <c r="C83" s="63">
        <f>AVERAGE('Summed Data'!$B$82:$D$82)</f>
        <v>0.35560946815421063</v>
      </c>
      <c r="D83" s="8" t="s">
        <v>416</v>
      </c>
      <c r="E83" s="71">
        <f>_xlfn.STDEV.S('Summed Data'!$B$82:$D$82)</f>
        <v>1.5158539755043287E-2</v>
      </c>
      <c r="F83" s="8"/>
      <c r="G83" s="80" t="str">
        <f>FIXED('consensus values'!$H$144, 1-FLOOR(LOG10('consensus values'!$H$144),1))</f>
        <v>0.78</v>
      </c>
      <c r="H83" s="8" t="s">
        <v>416</v>
      </c>
      <c r="I83" s="82" t="str">
        <f>FIXED('consensus values'!$P$144, 1-FLOOR(LOG10('consensus values'!$P$144),1))</f>
        <v>0.17</v>
      </c>
      <c r="J83" s="10" t="s">
        <v>436</v>
      </c>
      <c r="K83" s="10">
        <v>11</v>
      </c>
      <c r="L83" s="74" t="str">
        <f>IF('Summed Data'!$E$82="","",'Summed Data'!$E$82)</f>
        <v>Includes only PE O-34:2 results.</v>
      </c>
      <c r="M83" s="8"/>
      <c r="N83" s="8"/>
      <c r="O83" s="8"/>
      <c r="P83" s="8"/>
      <c r="Q83" s="8"/>
      <c r="R83" s="8"/>
      <c r="S83" s="8"/>
      <c r="T83" s="8"/>
      <c r="U83" s="8"/>
      <c r="V83" s="8"/>
      <c r="W83" s="8"/>
      <c r="X83" s="8"/>
      <c r="Y83" s="8"/>
    </row>
    <row r="84" spans="1:25" ht="15.75" customHeight="1" x14ac:dyDescent="0.25">
      <c r="A84" s="8"/>
      <c r="B84" s="8" t="str">
        <f>'Summed Data'!$A83</f>
        <v>PE O-34:3/P-34:2</v>
      </c>
      <c r="C84" s="63">
        <f>AVERAGE('Summed Data'!$B$83:$D$83)</f>
        <v>0.48693850394843635</v>
      </c>
      <c r="D84" s="8" t="s">
        <v>416</v>
      </c>
      <c r="E84" s="71">
        <f>_xlfn.STDEV.S('Summed Data'!$B$83:$D$83)</f>
        <v>3.0163351920375687E-2</v>
      </c>
      <c r="F84" s="8"/>
      <c r="G84" s="80" t="str">
        <f>FIXED('consensus values'!$H$145, 1-FLOOR(LOG10('consensus values'!$H$145),1))</f>
        <v>1.5</v>
      </c>
      <c r="H84" s="8" t="s">
        <v>416</v>
      </c>
      <c r="I84" s="82" t="str">
        <f>FIXED('consensus values'!$P$145, 1-FLOOR(LOG10('consensus values'!$P$145),1))</f>
        <v>0.41</v>
      </c>
      <c r="J84" s="10" t="s">
        <v>436</v>
      </c>
      <c r="K84" s="10">
        <v>11</v>
      </c>
      <c r="L84" s="74" t="str">
        <f>IF('Summed Data'!$E$83="","",'Summed Data'!$E$83)</f>
        <v>Includes only PE O-34:3 results.</v>
      </c>
      <c r="M84" s="8"/>
      <c r="N84" s="8"/>
      <c r="O84" s="8"/>
      <c r="P84" s="8"/>
      <c r="Q84" s="8"/>
      <c r="R84" s="8"/>
      <c r="S84" s="8"/>
      <c r="T84" s="8"/>
      <c r="U84" s="8"/>
      <c r="V84" s="8"/>
      <c r="W84" s="8"/>
      <c r="X84" s="8"/>
      <c r="Y84" s="8"/>
    </row>
    <row r="85" spans="1:25" ht="15.75" customHeight="1" x14ac:dyDescent="0.25">
      <c r="A85" s="8"/>
      <c r="B85" s="8" t="str">
        <f>'Summed Data'!$A84</f>
        <v>PE 36:0</v>
      </c>
      <c r="C85" s="63">
        <f>AVERAGE('Summed Data'!$B$84:$D$84)</f>
        <v>0.87279102837779365</v>
      </c>
      <c r="D85" s="8" t="s">
        <v>416</v>
      </c>
      <c r="E85" s="71">
        <f>_xlfn.STDEV.S('Summed Data'!$B$84:$D$84)</f>
        <v>9.9520569030009595E-2</v>
      </c>
      <c r="F85" s="8"/>
      <c r="G85" s="80" t="str">
        <f>FIXED('consensus values'!$H$146, 1-FLOOR(LOG10('consensus values'!$H$146),1))</f>
        <v>0.28</v>
      </c>
      <c r="H85" s="8" t="s">
        <v>416</v>
      </c>
      <c r="I85" s="82" t="str">
        <f>FIXED('consensus values'!$P$146, 1-FLOOR(LOG10('consensus values'!$P$146),1))</f>
        <v>0.10</v>
      </c>
      <c r="J85" s="10" t="s">
        <v>436</v>
      </c>
      <c r="K85" s="10">
        <v>11</v>
      </c>
      <c r="L85" s="74" t="str">
        <f>IF('Summed Data'!$E$84="","",'Summed Data'!$E$84)</f>
        <v/>
      </c>
      <c r="M85" s="8"/>
      <c r="N85" s="8"/>
      <c r="O85" s="8"/>
      <c r="P85" s="8"/>
      <c r="Q85" s="8"/>
      <c r="R85" s="8"/>
      <c r="S85" s="8"/>
      <c r="T85" s="8"/>
      <c r="U85" s="8"/>
      <c r="V85" s="8"/>
      <c r="W85" s="8"/>
      <c r="X85" s="8"/>
      <c r="Y85" s="8"/>
    </row>
    <row r="86" spans="1:25" ht="15.75" customHeight="1" x14ac:dyDescent="0.25">
      <c r="A86" s="8"/>
      <c r="B86" s="8" t="str">
        <f>'Summed Data'!$A85</f>
        <v>PE 36:1</v>
      </c>
      <c r="C86" s="63">
        <f>AVERAGE('Summed Data'!$B$85:$D$85)</f>
        <v>1.9079357838008801</v>
      </c>
      <c r="D86" s="8" t="s">
        <v>416</v>
      </c>
      <c r="E86" s="71">
        <f>_xlfn.STDEV.S('Summed Data'!$B$85:$D$85)</f>
        <v>8.4383213182323266E-2</v>
      </c>
      <c r="F86" s="8"/>
      <c r="G86" s="80" t="str">
        <f>FIXED('consensus values'!$H$147, 1-FLOOR(LOG10('consensus values'!$H$147),1))</f>
        <v>1.3</v>
      </c>
      <c r="H86" s="8" t="s">
        <v>416</v>
      </c>
      <c r="I86" s="82" t="str">
        <f>FIXED('consensus values'!$P$147, 1-FLOOR(LOG10('consensus values'!$P$147),1))</f>
        <v>0.26</v>
      </c>
      <c r="J86" s="10" t="s">
        <v>436</v>
      </c>
      <c r="K86" s="10">
        <v>14</v>
      </c>
      <c r="L86" s="74" t="str">
        <f>IF('Summed Data'!$E$85="","",'Summed Data'!$E$85)</f>
        <v/>
      </c>
      <c r="M86" s="8"/>
      <c r="N86" s="8"/>
      <c r="O86" s="8"/>
      <c r="P86" s="8"/>
      <c r="Q86" s="8"/>
      <c r="R86" s="8"/>
      <c r="S86" s="8"/>
      <c r="T86" s="8"/>
      <c r="U86" s="8"/>
      <c r="V86" s="8"/>
      <c r="W86" s="8"/>
      <c r="X86" s="8"/>
      <c r="Y86" s="8"/>
    </row>
    <row r="87" spans="1:25" ht="15.75" customHeight="1" x14ac:dyDescent="0.25">
      <c r="A87" s="8"/>
      <c r="B87" s="8" t="str">
        <f>'Summed Data'!$A86</f>
        <v>PE O-36:2/P-36:1/35:2</v>
      </c>
      <c r="C87" s="63">
        <f>AVERAGE('Summed Data'!$B$86:$D$86)</f>
        <v>0.38510274424063734</v>
      </c>
      <c r="D87" s="8" t="s">
        <v>416</v>
      </c>
      <c r="E87" s="71">
        <f>_xlfn.STDEV.S('Summed Data'!$B$86:$D$86)</f>
        <v>4.4998921888750095E-3</v>
      </c>
      <c r="F87" s="8"/>
      <c r="G87" s="80" t="str">
        <f>FIXED('consensus values'!$H$149, 1-FLOOR(LOG10('consensus values'!$H$149),1))</f>
        <v>0.93</v>
      </c>
      <c r="H87" s="8" t="s">
        <v>416</v>
      </c>
      <c r="I87" s="82" t="str">
        <f>FIXED('consensus values'!$P$149, 1-FLOOR(LOG10('consensus values'!$P$149),1))</f>
        <v>0.22</v>
      </c>
      <c r="J87" s="10" t="s">
        <v>436</v>
      </c>
      <c r="K87" s="10">
        <v>12</v>
      </c>
      <c r="L87" s="74" t="str">
        <f>IF('Summed Data'!$E$86="","",'Summed Data'!$E$86)</f>
        <v>Includes only only PE O-36:2 results.</v>
      </c>
      <c r="M87" s="8"/>
      <c r="N87" s="8"/>
      <c r="O87" s="8"/>
      <c r="P87" s="8"/>
      <c r="Q87" s="8"/>
      <c r="R87" s="8"/>
      <c r="S87" s="8"/>
      <c r="T87" s="8"/>
      <c r="U87" s="8"/>
      <c r="V87" s="8"/>
      <c r="W87" s="8"/>
      <c r="X87" s="8"/>
      <c r="Y87" s="8"/>
    </row>
    <row r="88" spans="1:25" ht="15.75" customHeight="1" x14ac:dyDescent="0.25">
      <c r="A88" s="8"/>
      <c r="B88" s="8" t="str">
        <f>'Summed Data'!$A87</f>
        <v>PE 36:3</v>
      </c>
      <c r="C88" s="63">
        <f>AVERAGE('Summed Data'!$B$87:$D$87)</f>
        <v>0.38611303558076998</v>
      </c>
      <c r="D88" s="8" t="s">
        <v>416</v>
      </c>
      <c r="E88" s="71">
        <f>_xlfn.STDEV.S('Summed Data'!$B$87:$D$87)</f>
        <v>6.6040780622652812E-2</v>
      </c>
      <c r="F88" s="8"/>
      <c r="G88" s="80" t="str">
        <f>FIXED('consensus values'!$H$150, 1-FLOOR(LOG10('consensus values'!$H$150),1))</f>
        <v>2.4</v>
      </c>
      <c r="H88" s="8" t="s">
        <v>416</v>
      </c>
      <c r="I88" s="82" t="str">
        <f>FIXED('consensus values'!$P$150, 1-FLOOR(LOG10('consensus values'!$P$150),1))</f>
        <v>0.38</v>
      </c>
      <c r="J88" s="10" t="s">
        <v>436</v>
      </c>
      <c r="K88" s="10">
        <v>16</v>
      </c>
      <c r="L88" s="74" t="str">
        <f>IF('Summed Data'!$E$87="","",'Summed Data'!$E$87)</f>
        <v/>
      </c>
      <c r="M88" s="8"/>
      <c r="N88" s="8"/>
      <c r="O88" s="8"/>
      <c r="P88" s="8"/>
      <c r="Q88" s="8"/>
      <c r="R88" s="8"/>
      <c r="S88" s="8"/>
      <c r="T88" s="8"/>
      <c r="U88" s="8"/>
      <c r="V88" s="8"/>
      <c r="W88" s="8"/>
      <c r="X88" s="8"/>
      <c r="Y88" s="8"/>
    </row>
    <row r="89" spans="1:25" ht="15.75" customHeight="1" x14ac:dyDescent="0.25">
      <c r="A89" s="8"/>
      <c r="B89" s="8" t="str">
        <f>'Summed Data'!$A88</f>
        <v>PE O-36:3/P-36:2/35:3</v>
      </c>
      <c r="C89" s="63">
        <f>AVERAGE('Summed Data'!$B$88:$D$88)</f>
        <v>1.5227881841550932</v>
      </c>
      <c r="D89" s="8" t="s">
        <v>416</v>
      </c>
      <c r="E89" s="71">
        <f>_xlfn.STDEV.S('Summed Data'!$B$88:$D$88)</f>
        <v>3.3427360761920454E-2</v>
      </c>
      <c r="F89" s="8"/>
      <c r="G89" s="80" t="str">
        <f>FIXED('consensus values'!$H$151, 1-FLOOR(LOG10('consensus values'!$H$151),1))</f>
        <v>3.2</v>
      </c>
      <c r="H89" s="8" t="s">
        <v>416</v>
      </c>
      <c r="I89" s="82" t="str">
        <f>FIXED('consensus values'!$P$151, 1-FLOOR(LOG10('consensus values'!$P$151),1))</f>
        <v>0.76</v>
      </c>
      <c r="J89" s="10" t="s">
        <v>436</v>
      </c>
      <c r="K89" s="10">
        <v>15</v>
      </c>
      <c r="L89" s="74" t="str">
        <f>IF('Summed Data'!$E$88="","",'Summed Data'!$E$88)</f>
        <v>Includes only only PE O-36:3 results.</v>
      </c>
      <c r="M89" s="8"/>
      <c r="N89" s="8"/>
      <c r="O89" s="8"/>
      <c r="P89" s="8"/>
      <c r="Q89" s="8"/>
      <c r="R89" s="8"/>
      <c r="S89" s="8"/>
      <c r="T89" s="8"/>
      <c r="U89" s="8"/>
      <c r="V89" s="8"/>
      <c r="W89" s="8"/>
      <c r="X89" s="8"/>
      <c r="Y89" s="8"/>
    </row>
    <row r="90" spans="1:25" ht="15.75" customHeight="1" x14ac:dyDescent="0.25">
      <c r="A90" s="8"/>
      <c r="B90" s="8" t="str">
        <f>'Summed Data'!$A89</f>
        <v>PE 36:4</v>
      </c>
      <c r="C90" s="63">
        <f>AVERAGE('Summed Data'!$B$89:$D$89)</f>
        <v>0.69156412591702188</v>
      </c>
      <c r="D90" s="8" t="s">
        <v>416</v>
      </c>
      <c r="E90" s="71">
        <f>_xlfn.STDEV.S('Summed Data'!$B$89:$D$89)</f>
        <v>3.5534880251288953E-2</v>
      </c>
      <c r="F90" s="8"/>
      <c r="G90" s="80" t="str">
        <f>FIXED('consensus values'!$H$152, 1-FLOOR(LOG10('consensus values'!$H$152),1))</f>
        <v>3.1</v>
      </c>
      <c r="H90" s="8" t="s">
        <v>416</v>
      </c>
      <c r="I90" s="82" t="str">
        <f>FIXED('consensus values'!$P$152, 1-FLOOR(LOG10('consensus values'!$P$152),1))</f>
        <v>0.39</v>
      </c>
      <c r="J90" s="10" t="s">
        <v>436</v>
      </c>
      <c r="K90" s="10">
        <v>16</v>
      </c>
      <c r="L90" s="74" t="str">
        <f>IF('Summed Data'!$E$89="","",'Summed Data'!$E$89)</f>
        <v/>
      </c>
      <c r="M90" s="8"/>
      <c r="N90" s="8"/>
      <c r="O90" s="8"/>
      <c r="P90" s="8"/>
      <c r="Q90" s="8"/>
      <c r="R90" s="8"/>
      <c r="S90" s="8"/>
      <c r="T90" s="8"/>
      <c r="U90" s="8"/>
      <c r="V90" s="8"/>
      <c r="W90" s="8"/>
      <c r="X90" s="8"/>
      <c r="Y90" s="8"/>
    </row>
    <row r="91" spans="1:25" ht="15.75" customHeight="1" x14ac:dyDescent="0.25">
      <c r="A91" s="8"/>
      <c r="B91" s="8" t="str">
        <f>'Summed Data'!$A90</f>
        <v>PE O-36:4/P-36:3</v>
      </c>
      <c r="C91" s="63">
        <f>AVERAGE('Summed Data'!$B$90:$D$90)</f>
        <v>0.430208149341676</v>
      </c>
      <c r="D91" s="8" t="s">
        <v>416</v>
      </c>
      <c r="E91" s="71">
        <f>_xlfn.STDEV.S('Summed Data'!$B$90:$D$90)</f>
        <v>2.7314338571596125E-2</v>
      </c>
      <c r="F91" s="8"/>
      <c r="G91" s="80" t="str">
        <f>FIXED('consensus values'!$H$153, 1-FLOOR(LOG10('consensus values'!$H$153),1))</f>
        <v>1.6</v>
      </c>
      <c r="H91" s="8" t="s">
        <v>416</v>
      </c>
      <c r="I91" s="82" t="str">
        <f>FIXED('consensus values'!$P$153, 1-FLOOR(LOG10('consensus values'!$P$153),1))</f>
        <v>0.29</v>
      </c>
      <c r="J91" s="10" t="s">
        <v>436</v>
      </c>
      <c r="K91" s="10">
        <v>14</v>
      </c>
      <c r="L91" s="74" t="str">
        <f>IF('Summed Data'!$E$90="","",'Summed Data'!$E$90)</f>
        <v>Includes only PE O-36:4 results.</v>
      </c>
      <c r="M91" s="8"/>
      <c r="N91" s="8"/>
      <c r="O91" s="8"/>
      <c r="P91" s="8"/>
      <c r="Q91" s="8"/>
      <c r="R91" s="8"/>
      <c r="S91" s="8"/>
      <c r="T91" s="8"/>
      <c r="U91" s="8"/>
      <c r="V91" s="8"/>
      <c r="W91" s="8"/>
      <c r="X91" s="8"/>
      <c r="Y91" s="8"/>
    </row>
    <row r="92" spans="1:25" ht="15.75" customHeight="1" x14ac:dyDescent="0.25">
      <c r="A92" s="8"/>
      <c r="B92" s="8" t="str">
        <f>'Summed Data'!$A91</f>
        <v>PE O-36:5/P-36:4</v>
      </c>
      <c r="C92" s="63">
        <f>AVERAGE('Summed Data'!$B$91:$D$91)</f>
        <v>2.1873075662850834</v>
      </c>
      <c r="D92" s="8" t="s">
        <v>416</v>
      </c>
      <c r="E92" s="71">
        <f>_xlfn.STDEV.S('Summed Data'!$B$91:$D$91)</f>
        <v>5.9209390560360425E-2</v>
      </c>
      <c r="F92" s="8"/>
      <c r="G92" s="80" t="str">
        <f>FIXED('consensus values'!$H$154, 1-FLOOR(LOG10('consensus values'!$H$154),1))</f>
        <v>4.9</v>
      </c>
      <c r="H92" s="8" t="s">
        <v>416</v>
      </c>
      <c r="I92" s="82" t="str">
        <f>FIXED('consensus values'!$P$154, 1-FLOOR(LOG10('consensus values'!$P$154),1))</f>
        <v>1.9</v>
      </c>
      <c r="J92" s="10" t="s">
        <v>436</v>
      </c>
      <c r="K92" s="10">
        <v>15</v>
      </c>
      <c r="L92" s="74" t="str">
        <f>IF('Summed Data'!$E$91="","",'Summed Data'!$E$91)</f>
        <v>Includes only PE O-36:5 results.</v>
      </c>
      <c r="M92" s="8"/>
      <c r="N92" s="8"/>
      <c r="O92" s="8"/>
      <c r="P92" s="8"/>
      <c r="Q92" s="8"/>
      <c r="R92" s="8"/>
      <c r="S92" s="8"/>
      <c r="T92" s="8"/>
      <c r="U92" s="8"/>
      <c r="V92" s="8"/>
      <c r="W92" s="8"/>
      <c r="X92" s="8"/>
      <c r="Y92" s="8"/>
    </row>
    <row r="93" spans="1:25" ht="15.75" customHeight="1" x14ac:dyDescent="0.25">
      <c r="A93" s="8"/>
      <c r="B93" s="8" t="str">
        <f>'Summed Data'!$A92</f>
        <v>PE 38:3</v>
      </c>
      <c r="C93" s="63">
        <f>AVERAGE('Summed Data'!$B$92:$D$92)</f>
        <v>0.79681992535253199</v>
      </c>
      <c r="D93" s="8" t="s">
        <v>416</v>
      </c>
      <c r="E93" s="71">
        <f>_xlfn.STDEV.S('Summed Data'!$B$92:$D$92)</f>
        <v>6.7316909086768215E-3</v>
      </c>
      <c r="F93" s="8"/>
      <c r="G93" s="80" t="str">
        <f>FIXED('consensus values'!$H$155, 1-FLOOR(LOG10('consensus values'!$H$155),1))</f>
        <v>0.95</v>
      </c>
      <c r="H93" s="8" t="s">
        <v>416</v>
      </c>
      <c r="I93" s="82" t="str">
        <f>FIXED('consensus values'!$P$155, 1-FLOOR(LOG10('consensus values'!$P$155),1))</f>
        <v>0.20</v>
      </c>
      <c r="J93" s="10" t="s">
        <v>436</v>
      </c>
      <c r="K93" s="10">
        <v>14</v>
      </c>
      <c r="L93" s="74" t="str">
        <f>IF('Summed Data'!$E$92="","",'Summed Data'!$E$92)</f>
        <v/>
      </c>
      <c r="M93" s="8"/>
      <c r="N93" s="8"/>
      <c r="O93" s="8"/>
      <c r="P93" s="8"/>
      <c r="Q93" s="8"/>
      <c r="R93" s="8"/>
      <c r="S93" s="8"/>
      <c r="T93" s="8"/>
      <c r="U93" s="8"/>
      <c r="V93" s="8"/>
      <c r="W93" s="8"/>
      <c r="X93" s="8"/>
      <c r="Y93" s="8"/>
    </row>
    <row r="94" spans="1:25" ht="15.75" customHeight="1" x14ac:dyDescent="0.25">
      <c r="A94" s="8"/>
      <c r="B94" s="8" t="str">
        <f>'Summed Data'!$A93</f>
        <v>PE 38:4</v>
      </c>
      <c r="C94" s="63">
        <f>AVERAGE('Summed Data'!$B$93:$D$93)</f>
        <v>3.1538318372644434</v>
      </c>
      <c r="D94" s="8" t="s">
        <v>416</v>
      </c>
      <c r="E94" s="71">
        <f>_xlfn.STDEV.S('Summed Data'!$B$93:$D$93)</f>
        <v>0.18521426331284643</v>
      </c>
      <c r="F94" s="8"/>
      <c r="G94" s="80" t="str">
        <f>FIXED('consensus values'!$H$156, 1-FLOOR(LOG10('consensus values'!$H$156),1))</f>
        <v>8.1</v>
      </c>
      <c r="H94" s="8" t="s">
        <v>416</v>
      </c>
      <c r="I94" s="82" t="str">
        <f>FIXED('consensus values'!$P$156, 1-FLOOR(LOG10('consensus values'!$P$156),1))</f>
        <v>1.2</v>
      </c>
      <c r="J94" s="10" t="s">
        <v>436</v>
      </c>
      <c r="K94" s="10">
        <v>16</v>
      </c>
      <c r="L94" s="74" t="str">
        <f>IF('Summed Data'!$E$93="","",'Summed Data'!$E$93)</f>
        <v/>
      </c>
      <c r="M94" s="8"/>
      <c r="N94" s="8"/>
      <c r="O94" s="8"/>
      <c r="P94" s="8"/>
      <c r="Q94" s="8"/>
      <c r="R94" s="8"/>
      <c r="S94" s="8"/>
      <c r="T94" s="8"/>
      <c r="U94" s="8"/>
      <c r="V94" s="8"/>
      <c r="W94" s="8"/>
      <c r="X94" s="8"/>
      <c r="Y94" s="8"/>
    </row>
    <row r="95" spans="1:25" ht="15.75" customHeight="1" x14ac:dyDescent="0.25">
      <c r="A95" s="8"/>
      <c r="B95" s="8" t="str">
        <f>'Summed Data'!$A94</f>
        <v>PE O-38:4/P-38:3/37:4</v>
      </c>
      <c r="C95" s="63">
        <f>AVERAGE('Summed Data'!$B$94:$D$94)</f>
        <v>0.5191341534299363</v>
      </c>
      <c r="D95" s="8" t="s">
        <v>416</v>
      </c>
      <c r="E95" s="71">
        <f>_xlfn.STDEV.S('Summed Data'!$B$94:$D$94)</f>
        <v>2.7367413374446821E-2</v>
      </c>
      <c r="F95" s="8"/>
      <c r="G95" s="80" t="str">
        <f>FIXED('consensus values'!$H$157, 1-FLOOR(LOG10('consensus values'!$H$157),1))</f>
        <v>0.94</v>
      </c>
      <c r="H95" s="8" t="s">
        <v>416</v>
      </c>
      <c r="I95" s="82" t="str">
        <f>FIXED('consensus values'!$P$157, 1-FLOOR(LOG10('consensus values'!$P$157),1))</f>
        <v>0.18</v>
      </c>
      <c r="J95" s="10" t="s">
        <v>436</v>
      </c>
      <c r="K95" s="10">
        <v>9</v>
      </c>
      <c r="L95" s="74" t="str">
        <f>IF('Summed Data'!$E$94="","",'Summed Data'!$E$94)</f>
        <v>Includes only only PE O-38:4 results.</v>
      </c>
      <c r="M95" s="8"/>
      <c r="N95" s="8"/>
      <c r="O95" s="8"/>
      <c r="P95" s="8"/>
      <c r="Q95" s="8"/>
      <c r="R95" s="8"/>
      <c r="S95" s="8"/>
      <c r="T95" s="8"/>
      <c r="U95" s="8"/>
      <c r="V95" s="8"/>
      <c r="W95" s="8"/>
      <c r="X95" s="8"/>
      <c r="Y95" s="8"/>
    </row>
    <row r="96" spans="1:25" ht="15.75" customHeight="1" x14ac:dyDescent="0.25">
      <c r="A96" s="8"/>
      <c r="B96" s="8" t="str">
        <f>'Summed Data'!$A95</f>
        <v>PE 38:5</v>
      </c>
      <c r="C96" s="63">
        <f>AVERAGE('Summed Data'!$B$95:$D$95)</f>
        <v>0.38232229916360366</v>
      </c>
      <c r="D96" s="8" t="s">
        <v>416</v>
      </c>
      <c r="E96" s="71">
        <f>_xlfn.STDEV.S('Summed Data'!$B$95:$D$95)</f>
        <v>1.7731105731843912E-2</v>
      </c>
      <c r="F96" s="8"/>
      <c r="G96" s="80" t="str">
        <f>FIXED('consensus values'!$H$158, 1-FLOOR(LOG10('consensus values'!$H$158),1))</f>
        <v>2.7</v>
      </c>
      <c r="H96" s="8" t="s">
        <v>416</v>
      </c>
      <c r="I96" s="82" t="str">
        <f>FIXED('consensus values'!$P$158, 1-FLOOR(LOG10('consensus values'!$P$158),1))</f>
        <v>0.47</v>
      </c>
      <c r="J96" s="10" t="s">
        <v>436</v>
      </c>
      <c r="K96" s="10">
        <v>12</v>
      </c>
      <c r="L96" s="74" t="str">
        <f>IF('Summed Data'!$E$95="","",'Summed Data'!$E$95)</f>
        <v/>
      </c>
      <c r="M96" s="8"/>
      <c r="N96" s="8"/>
      <c r="O96" s="8"/>
      <c r="P96" s="8"/>
      <c r="Q96" s="8"/>
      <c r="R96" s="8"/>
      <c r="S96" s="8"/>
      <c r="T96" s="8"/>
      <c r="U96" s="8"/>
      <c r="V96" s="8"/>
      <c r="W96" s="8"/>
      <c r="X96" s="8"/>
      <c r="Y96" s="8"/>
    </row>
    <row r="97" spans="1:25" ht="15.75" customHeight="1" x14ac:dyDescent="0.25">
      <c r="A97" s="8"/>
      <c r="B97" s="8" t="str">
        <f>'Summed Data'!$A96</f>
        <v>PE O-38:5/P-38:4</v>
      </c>
      <c r="C97" s="63">
        <f>AVERAGE('Summed Data'!$B$96:$D$96)</f>
        <v>5.4191532131541607</v>
      </c>
      <c r="D97" s="8" t="s">
        <v>416</v>
      </c>
      <c r="E97" s="71">
        <f>_xlfn.STDEV.S('Summed Data'!$B$96:$D$96)</f>
        <v>0.18462896198640855</v>
      </c>
      <c r="F97" s="8"/>
      <c r="G97" s="80" t="str">
        <f>FIXED('consensus values'!$H$159, 1-FLOOR(LOG10('consensus values'!$H$159),1))</f>
        <v>5.8</v>
      </c>
      <c r="H97" s="8" t="s">
        <v>416</v>
      </c>
      <c r="I97" s="82" t="str">
        <f>FIXED('consensus values'!$P$159, 1-FLOOR(LOG10('consensus values'!$P$159),1))</f>
        <v>1.9</v>
      </c>
      <c r="J97" s="10" t="s">
        <v>436</v>
      </c>
      <c r="K97" s="10">
        <v>17</v>
      </c>
      <c r="L97" s="74" t="str">
        <f>IF('Summed Data'!$E$96="","",'Summed Data'!$E$96)</f>
        <v>Includes only PE O-38:5 results.</v>
      </c>
      <c r="M97" s="8"/>
      <c r="N97" s="8"/>
      <c r="O97" s="8"/>
      <c r="P97" s="8"/>
      <c r="Q97" s="8"/>
      <c r="R97" s="8"/>
      <c r="S97" s="8"/>
      <c r="T97" s="8"/>
      <c r="U97" s="8"/>
      <c r="V97" s="8"/>
      <c r="W97" s="8"/>
      <c r="X97" s="8"/>
      <c r="Y97" s="8"/>
    </row>
    <row r="98" spans="1:25" ht="15.75" customHeight="1" x14ac:dyDescent="0.25">
      <c r="A98" s="8"/>
      <c r="B98" s="8" t="str">
        <f>'Summed Data'!$A97</f>
        <v>PE 38:6</v>
      </c>
      <c r="C98" s="63">
        <f>AVERAGE('Summed Data'!$B$97:$D$97)</f>
        <v>0.67884991174528508</v>
      </c>
      <c r="D98" s="8" t="s">
        <v>416</v>
      </c>
      <c r="E98" s="71">
        <f>_xlfn.STDEV.S('Summed Data'!$B$97:$D$97)</f>
        <v>1.875764618692103E-2</v>
      </c>
      <c r="F98" s="8"/>
      <c r="G98" s="80" t="str">
        <f>FIXED('consensus values'!$H$160, 1-FLOOR(LOG10('consensus values'!$H$160),1))</f>
        <v>3.2</v>
      </c>
      <c r="H98" s="8" t="s">
        <v>416</v>
      </c>
      <c r="I98" s="82" t="str">
        <f>FIXED('consensus values'!$P$160, 1-FLOOR(LOG10('consensus values'!$P$160),1))</f>
        <v>0.59</v>
      </c>
      <c r="J98" s="10" t="s">
        <v>436</v>
      </c>
      <c r="K98" s="10">
        <v>15</v>
      </c>
      <c r="L98" s="74" t="str">
        <f>IF('Summed Data'!$E$97="","",'Summed Data'!$E$97)</f>
        <v/>
      </c>
      <c r="M98" s="8"/>
      <c r="N98" s="8"/>
      <c r="O98" s="8"/>
      <c r="P98" s="8"/>
      <c r="Q98" s="8"/>
      <c r="R98" s="8"/>
      <c r="S98" s="8"/>
      <c r="T98" s="8"/>
      <c r="U98" s="8"/>
      <c r="V98" s="8"/>
      <c r="W98" s="8"/>
      <c r="X98" s="8"/>
      <c r="Y98" s="8"/>
    </row>
    <row r="99" spans="1:25" ht="15.75" customHeight="1" x14ac:dyDescent="0.25">
      <c r="A99" s="8"/>
      <c r="B99" s="8" t="str">
        <f>'Summed Data'!$A98</f>
        <v>PE O-38:6/P-38:5</v>
      </c>
      <c r="C99" s="63">
        <f>AVERAGE('Summed Data'!$B$98:$D$98)</f>
        <v>2.4055007868751104</v>
      </c>
      <c r="D99" s="8" t="s">
        <v>416</v>
      </c>
      <c r="E99" s="71">
        <f>_xlfn.STDEV.S('Summed Data'!$B$98:$D$98)</f>
        <v>0.178026381676784</v>
      </c>
      <c r="F99" s="8"/>
      <c r="G99" s="80" t="str">
        <f>FIXED('consensus values'!$H$161, 1-FLOOR(LOG10('consensus values'!$H$161),1))</f>
        <v>4.9</v>
      </c>
      <c r="H99" s="8" t="s">
        <v>416</v>
      </c>
      <c r="I99" s="82" t="str">
        <f>FIXED('consensus values'!$P$161, 1-FLOOR(LOG10('consensus values'!$P$161),1))</f>
        <v>1.2</v>
      </c>
      <c r="J99" s="10" t="s">
        <v>436</v>
      </c>
      <c r="K99" s="10">
        <v>16</v>
      </c>
      <c r="L99" s="74" t="str">
        <f>IF('Summed Data'!$E$98="","",'Summed Data'!$E$98)</f>
        <v>Includes only PE O-38:6 results.</v>
      </c>
      <c r="M99" s="8"/>
      <c r="N99" s="8"/>
      <c r="O99" s="8"/>
      <c r="P99" s="8"/>
      <c r="Q99" s="8"/>
      <c r="R99" s="8"/>
      <c r="S99" s="8"/>
      <c r="T99" s="8"/>
      <c r="U99" s="8"/>
      <c r="V99" s="8"/>
      <c r="W99" s="8"/>
      <c r="X99" s="8"/>
      <c r="Y99" s="8"/>
    </row>
    <row r="100" spans="1:25" ht="15.75" customHeight="1" x14ac:dyDescent="0.25">
      <c r="A100" s="8"/>
      <c r="B100" s="8" t="str">
        <f>'Summed Data'!$A99</f>
        <v>PE O-38:7/P-38:6</v>
      </c>
      <c r="C100" s="63">
        <f>AVERAGE('Summed Data'!$B$99:$D$99)</f>
        <v>0.79966502392593464</v>
      </c>
      <c r="D100" s="8" t="s">
        <v>416</v>
      </c>
      <c r="E100" s="71">
        <f>_xlfn.STDEV.S('Summed Data'!$B$99:$D$99)</f>
        <v>1.2933353688761313E-2</v>
      </c>
      <c r="F100" s="8"/>
      <c r="G100" s="80" t="str">
        <f>FIXED('consensus values'!$H$162, 1-FLOOR(LOG10('consensus values'!$H$162),1))</f>
        <v>3.5</v>
      </c>
      <c r="H100" s="8" t="s">
        <v>416</v>
      </c>
      <c r="I100" s="82" t="str">
        <f>FIXED('consensus values'!$P$162, 1-FLOOR(LOG10('consensus values'!$P$162),1))</f>
        <v>0.98</v>
      </c>
      <c r="J100" s="10" t="s">
        <v>436</v>
      </c>
      <c r="K100" s="10">
        <v>8</v>
      </c>
      <c r="L100" s="74" t="str">
        <f>IF('Summed Data'!$E$99="","",'Summed Data'!$E$99)</f>
        <v>Includes only PE O-38:7 results.</v>
      </c>
      <c r="M100" s="8"/>
      <c r="N100" s="8"/>
      <c r="O100" s="8"/>
      <c r="P100" s="8"/>
      <c r="Q100" s="8"/>
      <c r="R100" s="8"/>
      <c r="S100" s="8"/>
      <c r="T100" s="8"/>
      <c r="U100" s="8"/>
      <c r="V100" s="8"/>
      <c r="W100" s="8"/>
      <c r="X100" s="8"/>
      <c r="Y100" s="8"/>
    </row>
    <row r="101" spans="1:25" ht="15.75" customHeight="1" x14ac:dyDescent="0.25">
      <c r="A101" s="8"/>
      <c r="B101" s="8" t="str">
        <f>'Summed Data'!$A100</f>
        <v>PE 40:4</v>
      </c>
      <c r="C101" s="63">
        <f>AVERAGE('Summed Data'!$B$100:$D$100)</f>
        <v>0.79593419265015897</v>
      </c>
      <c r="D101" s="8" t="s">
        <v>416</v>
      </c>
      <c r="E101" s="71">
        <f>_xlfn.STDEV.S('Summed Data'!$B$100:$D$100)</f>
        <v>2.3178346314729696E-2</v>
      </c>
      <c r="F101" s="8"/>
      <c r="G101" s="80" t="str">
        <f>FIXED('consensus values'!$H$163, 1-FLOOR(LOG10('consensus values'!$H$163),1))</f>
        <v>0.26</v>
      </c>
      <c r="H101" s="8" t="s">
        <v>416</v>
      </c>
      <c r="I101" s="82" t="str">
        <f>FIXED('consensus values'!$P$163, 1-FLOOR(LOG10('consensus values'!$P$163),1))</f>
        <v>0.082</v>
      </c>
      <c r="J101" s="10" t="s">
        <v>436</v>
      </c>
      <c r="K101" s="10">
        <v>10</v>
      </c>
      <c r="L101" s="74" t="str">
        <f>IF('Summed Data'!$E$100="","",'Summed Data'!$E$100)</f>
        <v/>
      </c>
      <c r="M101" s="8"/>
      <c r="N101" s="8"/>
      <c r="O101" s="8"/>
      <c r="P101" s="8"/>
      <c r="Q101" s="8"/>
      <c r="R101" s="8"/>
      <c r="S101" s="8"/>
      <c r="T101" s="8"/>
      <c r="U101" s="8"/>
      <c r="V101" s="8"/>
      <c r="W101" s="8"/>
      <c r="X101" s="8"/>
      <c r="Y101" s="8"/>
    </row>
    <row r="102" spans="1:25" ht="15.75" customHeight="1" x14ac:dyDescent="0.25">
      <c r="A102" s="8"/>
      <c r="B102" s="8" t="str">
        <f>'Summed Data'!$A101</f>
        <v>PE 40:5</v>
      </c>
      <c r="C102" s="63">
        <f>AVERAGE('Summed Data'!$B$101:$D$101)</f>
        <v>0.17582224556002898</v>
      </c>
      <c r="D102" s="8" t="s">
        <v>416</v>
      </c>
      <c r="E102" s="71">
        <f>_xlfn.STDEV.S('Summed Data'!$B$101:$D$101)</f>
        <v>8.2038856683826576E-3</v>
      </c>
      <c r="F102" s="8"/>
      <c r="G102" s="80" t="str">
        <f>FIXED('consensus values'!$H$164, 1-FLOOR(LOG10('consensus values'!$H$164),1))</f>
        <v>0.73</v>
      </c>
      <c r="H102" s="8" t="s">
        <v>416</v>
      </c>
      <c r="I102" s="82" t="str">
        <f>FIXED('consensus values'!$P$164, 1-FLOOR(LOG10('consensus values'!$P$164),1))</f>
        <v>0.23</v>
      </c>
      <c r="J102" s="10" t="s">
        <v>436</v>
      </c>
      <c r="K102" s="10">
        <v>12</v>
      </c>
      <c r="L102" s="74" t="str">
        <f>IF('Summed Data'!$E$101="","",'Summed Data'!$E$101)</f>
        <v/>
      </c>
      <c r="M102" s="8"/>
      <c r="N102" s="8"/>
      <c r="O102" s="8"/>
      <c r="P102" s="8"/>
      <c r="Q102" s="8"/>
      <c r="R102" s="8"/>
      <c r="S102" s="8"/>
      <c r="T102" s="8"/>
      <c r="U102" s="8"/>
      <c r="V102" s="8"/>
      <c r="W102" s="8"/>
      <c r="X102" s="8"/>
      <c r="Y102" s="8"/>
    </row>
    <row r="103" spans="1:25" ht="15.75" customHeight="1" x14ac:dyDescent="0.25">
      <c r="A103" s="8"/>
      <c r="B103" s="8" t="str">
        <f>'Summed Data'!$A102</f>
        <v>PE O-40:5/P-40:4/39:5</v>
      </c>
      <c r="C103" s="63">
        <f>AVERAGE('Summed Data'!$B$102:$D$102)</f>
        <v>2.43735603672559</v>
      </c>
      <c r="D103" s="8" t="s">
        <v>416</v>
      </c>
      <c r="E103" s="71">
        <f>_xlfn.STDEV.S('Summed Data'!$B$102:$D$102)</f>
        <v>0.22688227262272836</v>
      </c>
      <c r="F103" s="8"/>
      <c r="G103" s="80" t="str">
        <f>FIXED('consensus values'!$H$165, 1-FLOOR(LOG10('consensus values'!$H$165),1))</f>
        <v>0.73</v>
      </c>
      <c r="H103" s="8" t="s">
        <v>416</v>
      </c>
      <c r="I103" s="82" t="str">
        <f>FIXED('consensus values'!$P$165, 1-FLOOR(LOG10('consensus values'!$P$165),1))</f>
        <v>0.13</v>
      </c>
      <c r="J103" s="10" t="s">
        <v>436</v>
      </c>
      <c r="K103" s="10">
        <v>12</v>
      </c>
      <c r="L103" s="74" t="str">
        <f>IF('Summed Data'!$E$102="","",'Summed Data'!$E$102)</f>
        <v>Includes only only PE O-40:5 results.</v>
      </c>
      <c r="M103" s="8"/>
      <c r="N103" s="8"/>
      <c r="O103" s="8"/>
      <c r="P103" s="8"/>
      <c r="Q103" s="8"/>
      <c r="R103" s="8"/>
      <c r="S103" s="8"/>
      <c r="T103" s="8"/>
      <c r="U103" s="8"/>
      <c r="V103" s="8"/>
      <c r="W103" s="8"/>
      <c r="X103" s="8"/>
      <c r="Y103" s="8"/>
    </row>
    <row r="104" spans="1:25" ht="15.75" customHeight="1" x14ac:dyDescent="0.25">
      <c r="A104" s="8"/>
      <c r="B104" s="8" t="str">
        <f>'Summed Data'!$A103</f>
        <v>PE 40:6</v>
      </c>
      <c r="C104" s="63">
        <f>AVERAGE('Summed Data'!$B$103:$D$103)</f>
        <v>0.5064635253664207</v>
      </c>
      <c r="D104" s="8" t="s">
        <v>416</v>
      </c>
      <c r="E104" s="71">
        <f>_xlfn.STDEV.S('Summed Data'!$B$103:$D$103)</f>
        <v>2.2347612642230702E-2</v>
      </c>
      <c r="F104" s="8"/>
      <c r="G104" s="80" t="str">
        <f>FIXED('consensus values'!$H$166, 1-FLOOR(LOG10('consensus values'!$H$166),1))</f>
        <v>1.8</v>
      </c>
      <c r="H104" s="8" t="s">
        <v>416</v>
      </c>
      <c r="I104" s="82" t="str">
        <f>FIXED('consensus values'!$P$166, 1-FLOOR(LOG10('consensus values'!$P$166),1))</f>
        <v>0.36</v>
      </c>
      <c r="J104" s="10" t="s">
        <v>436</v>
      </c>
      <c r="K104" s="10">
        <v>14</v>
      </c>
      <c r="L104" s="74" t="str">
        <f>IF('Summed Data'!$E$103="","",'Summed Data'!$E$103)</f>
        <v/>
      </c>
      <c r="M104" s="8"/>
      <c r="N104" s="8"/>
      <c r="O104" s="8"/>
      <c r="P104" s="8"/>
      <c r="Q104" s="8"/>
      <c r="R104" s="8"/>
      <c r="S104" s="8"/>
      <c r="T104" s="8"/>
      <c r="U104" s="8"/>
      <c r="V104" s="8"/>
      <c r="W104" s="8"/>
      <c r="X104" s="8"/>
      <c r="Y104" s="8"/>
    </row>
    <row r="105" spans="1:25" ht="15.75" customHeight="1" x14ac:dyDescent="0.25">
      <c r="A105" s="8"/>
      <c r="B105" s="8" t="str">
        <f>'Summed Data'!$A104</f>
        <v>PE O-40:6/P-40:5/39:6</v>
      </c>
      <c r="C105" s="63">
        <f>AVERAGE('Summed Data'!$B$104:$D$104)</f>
        <v>2.9396306778589096</v>
      </c>
      <c r="D105" s="8" t="s">
        <v>416</v>
      </c>
      <c r="E105" s="71">
        <f>_xlfn.STDEV.S('Summed Data'!$B$104:$D$104)</f>
        <v>0.18584191126377422</v>
      </c>
      <c r="F105" s="8"/>
      <c r="G105" s="80" t="str">
        <f>FIXED('consensus values'!$H$167, 1-FLOOR(LOG10('consensus values'!$H$167),1))</f>
        <v>1.3</v>
      </c>
      <c r="H105" s="8" t="s">
        <v>416</v>
      </c>
      <c r="I105" s="82" t="str">
        <f>FIXED('consensus values'!$P$167, 1-FLOOR(LOG10('consensus values'!$P$167),1))</f>
        <v>0.31</v>
      </c>
      <c r="J105" s="10" t="s">
        <v>436</v>
      </c>
      <c r="K105" s="10">
        <v>14</v>
      </c>
      <c r="L105" s="74" t="str">
        <f>IF('Summed Data'!$E$104="","",'Summed Data'!$E$104)</f>
        <v>Includes only only PE O-40:6 results.</v>
      </c>
      <c r="M105" s="8"/>
      <c r="N105" s="8"/>
      <c r="O105" s="8"/>
      <c r="P105" s="8"/>
      <c r="Q105" s="8"/>
      <c r="R105" s="8"/>
      <c r="S105" s="8"/>
      <c r="T105" s="8"/>
      <c r="U105" s="8"/>
      <c r="V105" s="8"/>
      <c r="W105" s="8"/>
      <c r="X105" s="8"/>
      <c r="Y105" s="8"/>
    </row>
    <row r="106" spans="1:25" ht="15.75" customHeight="1" x14ac:dyDescent="0.25">
      <c r="A106" s="8"/>
      <c r="B106" s="8" t="str">
        <f>'Summed Data'!$A105</f>
        <v>PE 40:7</v>
      </c>
      <c r="C106" s="63">
        <f>AVERAGE('Summed Data'!$B$105:$D$105)</f>
        <v>0.20929739206925599</v>
      </c>
      <c r="D106" s="8" t="s">
        <v>416</v>
      </c>
      <c r="E106" s="71">
        <f>_xlfn.STDEV.S('Summed Data'!$B$105:$D$105)</f>
        <v>8.4712533443619294E-3</v>
      </c>
      <c r="F106" s="8"/>
      <c r="G106" s="80" t="str">
        <f>FIXED('consensus values'!$H$168, 1-FLOOR(LOG10('consensus values'!$H$168),1))</f>
        <v>0.77</v>
      </c>
      <c r="H106" s="8" t="s">
        <v>416</v>
      </c>
      <c r="I106" s="82" t="str">
        <f>FIXED('consensus values'!$P$168, 1-FLOOR(LOG10('consensus values'!$P$168),1))</f>
        <v>0.26</v>
      </c>
      <c r="J106" s="10" t="s">
        <v>436</v>
      </c>
      <c r="K106" s="10">
        <v>11</v>
      </c>
      <c r="L106" s="74" t="str">
        <f>IF('Summed Data'!$E$105="","",'Summed Data'!$E$105)</f>
        <v/>
      </c>
      <c r="M106" s="8"/>
      <c r="N106" s="8"/>
      <c r="O106" s="8"/>
      <c r="P106" s="8"/>
      <c r="Q106" s="8"/>
      <c r="R106" s="8"/>
      <c r="S106" s="8"/>
      <c r="T106" s="8"/>
      <c r="U106" s="8"/>
      <c r="V106" s="8"/>
      <c r="W106" s="8"/>
      <c r="X106" s="8"/>
      <c r="Y106" s="8"/>
    </row>
    <row r="107" spans="1:25" ht="15.75" customHeight="1" x14ac:dyDescent="0.25">
      <c r="A107" s="8"/>
      <c r="B107" s="8" t="str">
        <f>'Summed Data'!$A106</f>
        <v>PE O-40:7/P-40:6/39:7</v>
      </c>
      <c r="C107" s="63">
        <f>AVERAGE('Summed Data'!$B$106:$D$106)</f>
        <v>1.0808388528426267</v>
      </c>
      <c r="D107" s="8" t="s">
        <v>416</v>
      </c>
      <c r="E107" s="71">
        <f>_xlfn.STDEV.S('Summed Data'!$B$106:$D$106)</f>
        <v>3.4789144436594144E-2</v>
      </c>
      <c r="F107" s="8"/>
      <c r="G107" s="80" t="str">
        <f>FIXED('consensus values'!$H$169, 1-FLOOR(LOG10('consensus values'!$H$169),1))</f>
        <v>2.5</v>
      </c>
      <c r="H107" s="8" t="s">
        <v>416</v>
      </c>
      <c r="I107" s="82" t="str">
        <f>FIXED('consensus values'!$P$169, 1-FLOOR(LOG10('consensus values'!$P$169),1))</f>
        <v>0.72</v>
      </c>
      <c r="J107" s="10" t="s">
        <v>436</v>
      </c>
      <c r="K107" s="10">
        <v>14</v>
      </c>
      <c r="L107" s="74" t="str">
        <f>IF('Summed Data'!$E$106="","",'Summed Data'!$E$106)</f>
        <v>Includes only only PE O-40:7 results.</v>
      </c>
      <c r="M107" s="8"/>
      <c r="N107" s="8"/>
      <c r="O107" s="8"/>
      <c r="P107" s="8"/>
      <c r="Q107" s="8"/>
      <c r="R107" s="8"/>
      <c r="S107" s="8"/>
      <c r="T107" s="8"/>
      <c r="U107" s="8"/>
      <c r="V107" s="8"/>
      <c r="W107" s="8"/>
      <c r="X107" s="8"/>
      <c r="Y107" s="8"/>
    </row>
    <row r="108" spans="1:25" ht="15.75" customHeight="1" x14ac:dyDescent="0.25">
      <c r="A108" s="8"/>
      <c r="B108" s="8" t="str">
        <f>'Summed Data'!$A107</f>
        <v>PI 32:1</v>
      </c>
      <c r="C108" s="63">
        <f>AVERAGE('Summed Data'!$B$107:$D$107)</f>
        <v>0.45586742419587628</v>
      </c>
      <c r="D108" s="8" t="s">
        <v>416</v>
      </c>
      <c r="E108" s="71">
        <f>_xlfn.STDEV.S('Summed Data'!$B$107:$D$107)</f>
        <v>2.9504586651365853E-2</v>
      </c>
      <c r="F108" s="8"/>
      <c r="G108" s="80" t="str">
        <f>FIXED('consensus values'!$H$170, 1-FLOOR(LOG10('consensus values'!$H$170),1))</f>
        <v>0.56</v>
      </c>
      <c r="H108" s="8" t="s">
        <v>416</v>
      </c>
      <c r="I108" s="82" t="str">
        <f>FIXED('consensus values'!$P$170, 1-FLOOR(LOG10('consensus values'!$P$170),1))</f>
        <v>0.11</v>
      </c>
      <c r="J108" s="10" t="s">
        <v>436</v>
      </c>
      <c r="K108" s="10">
        <v>10</v>
      </c>
      <c r="L108" s="74" t="str">
        <f>IF('Summed Data'!$E$107="","",'Summed Data'!$E$107)</f>
        <v/>
      </c>
      <c r="M108" s="8"/>
      <c r="N108" s="8"/>
      <c r="O108" s="8"/>
      <c r="P108" s="8"/>
      <c r="Q108" s="8"/>
      <c r="R108" s="8"/>
      <c r="S108" s="8"/>
      <c r="T108" s="8"/>
      <c r="U108" s="8"/>
      <c r="V108" s="8"/>
      <c r="W108" s="8"/>
      <c r="X108" s="8"/>
      <c r="Y108" s="8"/>
    </row>
    <row r="109" spans="1:25" ht="15.75" customHeight="1" x14ac:dyDescent="0.25">
      <c r="A109" s="8"/>
      <c r="B109" s="8" t="str">
        <f>'Summed Data'!$A108</f>
        <v>PI 34:1</v>
      </c>
      <c r="C109" s="63">
        <f>AVERAGE('Summed Data'!$B$108:$D$108)</f>
        <v>1.0556132049015494</v>
      </c>
      <c r="D109" s="8" t="s">
        <v>416</v>
      </c>
      <c r="E109" s="71">
        <f>_xlfn.STDEV.S('Summed Data'!$B$108:$D$108)</f>
        <v>0.34628188764237688</v>
      </c>
      <c r="F109" s="8"/>
      <c r="G109" s="80" t="str">
        <f>FIXED('consensus values'!$H$171, 1-FLOOR(LOG10('consensus values'!$H$171),1))</f>
        <v>2.4</v>
      </c>
      <c r="H109" s="8" t="s">
        <v>416</v>
      </c>
      <c r="I109" s="82" t="str">
        <f>FIXED('consensus values'!$P$171, 1-FLOOR(LOG10('consensus values'!$P$171),1))</f>
        <v>0.42</v>
      </c>
      <c r="J109" s="10" t="s">
        <v>436</v>
      </c>
      <c r="K109" s="10">
        <v>14</v>
      </c>
      <c r="L109" s="74" t="str">
        <f>IF('Summed Data'!$E$108="","",'Summed Data'!$E$108)</f>
        <v/>
      </c>
      <c r="M109" s="8"/>
      <c r="N109" s="8"/>
      <c r="O109" s="8"/>
      <c r="P109" s="8"/>
      <c r="Q109" s="8"/>
      <c r="R109" s="8"/>
      <c r="S109" s="8"/>
      <c r="T109" s="8"/>
      <c r="U109" s="8"/>
      <c r="V109" s="8"/>
      <c r="W109" s="8"/>
      <c r="X109" s="8"/>
      <c r="Y109" s="8"/>
    </row>
    <row r="110" spans="1:25" ht="15.75" customHeight="1" x14ac:dyDescent="0.25">
      <c r="A110" s="8"/>
      <c r="B110" s="8" t="str">
        <f>'Summed Data'!$A109</f>
        <v>PI 34:2</v>
      </c>
      <c r="C110" s="63">
        <f>AVERAGE('Summed Data'!$B$109:$D$109)</f>
        <v>2.7331456170830197</v>
      </c>
      <c r="D110" s="8" t="s">
        <v>416</v>
      </c>
      <c r="E110" s="71">
        <f>_xlfn.STDEV.S('Summed Data'!$B$109:$D$109)</f>
        <v>0.21685326329280663</v>
      </c>
      <c r="F110" s="8"/>
      <c r="G110" s="80" t="str">
        <f>FIXED('consensus values'!$H$172, 1-FLOOR(LOG10('consensus values'!$H$172),1))</f>
        <v>2.8</v>
      </c>
      <c r="H110" s="8" t="s">
        <v>416</v>
      </c>
      <c r="I110" s="82" t="str">
        <f>FIXED('consensus values'!$P$172, 1-FLOOR(LOG10('consensus values'!$P$172),1))</f>
        <v>0.38</v>
      </c>
      <c r="J110" s="10" t="s">
        <v>436</v>
      </c>
      <c r="K110" s="10">
        <v>14</v>
      </c>
      <c r="L110" s="74" t="str">
        <f>IF('Summed Data'!$E$109="","",'Summed Data'!$E$109)</f>
        <v/>
      </c>
      <c r="M110" s="8"/>
      <c r="N110" s="8"/>
      <c r="O110" s="8"/>
      <c r="P110" s="8"/>
      <c r="Q110" s="8"/>
      <c r="R110" s="8"/>
      <c r="S110" s="8"/>
      <c r="T110" s="8"/>
      <c r="U110" s="8"/>
      <c r="V110" s="8"/>
      <c r="W110" s="8"/>
      <c r="X110" s="8"/>
      <c r="Y110" s="8"/>
    </row>
    <row r="111" spans="1:25" ht="15.75" customHeight="1" x14ac:dyDescent="0.25">
      <c r="A111" s="8"/>
      <c r="B111" s="8" t="str">
        <f>'Summed Data'!$A110</f>
        <v>PI 36:1</v>
      </c>
      <c r="C111" s="63">
        <f>AVERAGE('Summed Data'!$B$110:$D$110)</f>
        <v>1.7486602353766267</v>
      </c>
      <c r="D111" s="8" t="s">
        <v>416</v>
      </c>
      <c r="E111" s="71">
        <f>_xlfn.STDEV.S('Summed Data'!$B$110:$D$110)</f>
        <v>7.0383267267898911E-2</v>
      </c>
      <c r="F111" s="8"/>
      <c r="G111" s="80" t="str">
        <f>FIXED('consensus values'!$H$173, 1-FLOOR(LOG10('consensus values'!$H$173),1))</f>
        <v>2.1</v>
      </c>
      <c r="H111" s="8" t="s">
        <v>416</v>
      </c>
      <c r="I111" s="82" t="str">
        <f>FIXED('consensus values'!$P$173, 1-FLOOR(LOG10('consensus values'!$P$173),1))</f>
        <v>0.59</v>
      </c>
      <c r="J111" s="10" t="s">
        <v>436</v>
      </c>
      <c r="K111" s="10">
        <v>13</v>
      </c>
      <c r="L111" s="74" t="str">
        <f>IF('Summed Data'!$E$110="","",'Summed Data'!$E$110)</f>
        <v/>
      </c>
      <c r="M111" s="8"/>
      <c r="N111" s="8"/>
      <c r="O111" s="8"/>
      <c r="P111" s="8"/>
      <c r="Q111" s="8"/>
      <c r="R111" s="8"/>
      <c r="S111" s="8"/>
      <c r="T111" s="8"/>
      <c r="U111" s="8"/>
      <c r="V111" s="8"/>
      <c r="W111" s="8"/>
      <c r="X111" s="8"/>
      <c r="Y111" s="8"/>
    </row>
    <row r="112" spans="1:25" ht="15.75" customHeight="1" x14ac:dyDescent="0.25">
      <c r="A112" s="8"/>
      <c r="B112" s="8" t="str">
        <f>'Summed Data'!$A111</f>
        <v>PI 36:2</v>
      </c>
      <c r="C112" s="63">
        <f>AVERAGE('Summed Data'!$B$111:$D$111)</f>
        <v>6.3376769742085868</v>
      </c>
      <c r="D112" s="8" t="s">
        <v>416</v>
      </c>
      <c r="E112" s="71">
        <f>_xlfn.STDEV.S('Summed Data'!$B$111:$D$111)</f>
        <v>0.53190534328461159</v>
      </c>
      <c r="F112" s="8"/>
      <c r="G112" s="80" t="str">
        <f>FIXED('consensus values'!$H$174, 1-FLOOR(LOG10('consensus values'!$H$174),1))</f>
        <v>7.7</v>
      </c>
      <c r="H112" s="8" t="s">
        <v>416</v>
      </c>
      <c r="I112" s="82" t="str">
        <f>FIXED('consensus values'!$P$174, 1-FLOOR(LOG10('consensus values'!$P$174),1))</f>
        <v>0.93</v>
      </c>
      <c r="J112" s="10" t="s">
        <v>436</v>
      </c>
      <c r="K112" s="10">
        <v>15</v>
      </c>
      <c r="L112" s="74" t="str">
        <f>IF('Summed Data'!$E$111="","",'Summed Data'!$E$111)</f>
        <v/>
      </c>
      <c r="M112" s="8"/>
      <c r="N112" s="8"/>
      <c r="O112" s="8"/>
      <c r="P112" s="8"/>
      <c r="Q112" s="8"/>
      <c r="R112" s="8"/>
      <c r="S112" s="8"/>
      <c r="T112" s="8"/>
      <c r="U112" s="8"/>
      <c r="V112" s="8"/>
      <c r="W112" s="8"/>
      <c r="X112" s="8"/>
      <c r="Y112" s="8"/>
    </row>
    <row r="113" spans="1:25" ht="15.75" customHeight="1" x14ac:dyDescent="0.25">
      <c r="A113" s="8"/>
      <c r="B113" s="8" t="str">
        <f>'Summed Data'!$A112</f>
        <v>PI 36:3</v>
      </c>
      <c r="C113" s="63">
        <f>AVERAGE('Summed Data'!$B$112:$D$112)</f>
        <v>1.0644703052131834</v>
      </c>
      <c r="D113" s="8" t="s">
        <v>416</v>
      </c>
      <c r="E113" s="71">
        <f>_xlfn.STDEV.S('Summed Data'!$B$112:$D$112)</f>
        <v>6.7786451377718035E-2</v>
      </c>
      <c r="F113" s="8"/>
      <c r="G113" s="80" t="str">
        <f>FIXED('consensus values'!$H$175, 1-FLOOR(LOG10('consensus values'!$H$175),1))</f>
        <v>2.2</v>
      </c>
      <c r="H113" s="8" t="s">
        <v>416</v>
      </c>
      <c r="I113" s="82" t="str">
        <f>FIXED('consensus values'!$P$175, 1-FLOOR(LOG10('consensus values'!$P$175),1))</f>
        <v>0.29</v>
      </c>
      <c r="J113" s="10" t="s">
        <v>436</v>
      </c>
      <c r="K113" s="10">
        <v>14</v>
      </c>
      <c r="L113" s="74" t="str">
        <f>IF('Summed Data'!$E$112="","",'Summed Data'!$E$112)</f>
        <v/>
      </c>
      <c r="M113" s="8"/>
      <c r="N113" s="8"/>
      <c r="O113" s="8"/>
      <c r="P113" s="8"/>
      <c r="Q113" s="8"/>
      <c r="R113" s="8"/>
      <c r="S113" s="8"/>
      <c r="T113" s="8"/>
      <c r="U113" s="8"/>
      <c r="V113" s="8"/>
      <c r="W113" s="8"/>
      <c r="X113" s="8"/>
      <c r="Y113" s="8"/>
    </row>
    <row r="114" spans="1:25" ht="15.75" customHeight="1" x14ac:dyDescent="0.25">
      <c r="A114" s="8"/>
      <c r="B114" s="8" t="str">
        <f>'Summed Data'!$A113</f>
        <v>PI 36:4</v>
      </c>
      <c r="C114" s="63">
        <f>AVERAGE('Summed Data'!$B$113:$D$113)</f>
        <v>2.6660848874700736</v>
      </c>
      <c r="D114" s="8" t="s">
        <v>416</v>
      </c>
      <c r="E114" s="71">
        <f>_xlfn.STDEV.S('Summed Data'!$B$113:$D$113)</f>
        <v>0.14754114131679996</v>
      </c>
      <c r="F114" s="8"/>
      <c r="G114" s="80" t="str">
        <f>FIXED('consensus values'!$H$176, 1-FLOOR(LOG10('consensus values'!$H$176),1))</f>
        <v>3.0</v>
      </c>
      <c r="H114" s="8" t="s">
        <v>416</v>
      </c>
      <c r="I114" s="82" t="str">
        <f>FIXED('consensus values'!$P$176, 1-FLOOR(LOG10('consensus values'!$P$176),1))</f>
        <v>0.48</v>
      </c>
      <c r="J114" s="10" t="s">
        <v>436</v>
      </c>
      <c r="K114" s="10">
        <v>14</v>
      </c>
      <c r="L114" s="74" t="str">
        <f>IF('Summed Data'!$E$113="","",'Summed Data'!$E$113)</f>
        <v/>
      </c>
      <c r="M114" s="8"/>
      <c r="N114" s="8"/>
      <c r="O114" s="8"/>
      <c r="P114" s="8"/>
      <c r="Q114" s="8"/>
      <c r="R114" s="8"/>
      <c r="S114" s="8"/>
      <c r="T114" s="8"/>
      <c r="U114" s="8"/>
      <c r="V114" s="8"/>
      <c r="W114" s="8"/>
      <c r="X114" s="8"/>
      <c r="Y114" s="8"/>
    </row>
    <row r="115" spans="1:25" ht="15.75" customHeight="1" x14ac:dyDescent="0.25">
      <c r="A115" s="8"/>
      <c r="B115" s="8" t="str">
        <f>'Summed Data'!$A114</f>
        <v>PI 38:3</v>
      </c>
      <c r="C115" s="63">
        <f>AVERAGE('Summed Data'!$B$114:$D$114)</f>
        <v>2.9107247101804465</v>
      </c>
      <c r="D115" s="8" t="s">
        <v>416</v>
      </c>
      <c r="E115" s="71">
        <f>_xlfn.STDEV.S('Summed Data'!$B$114:$D$114)</f>
        <v>0.23660410660180178</v>
      </c>
      <c r="F115" s="8"/>
      <c r="G115" s="80" t="str">
        <f>FIXED('consensus values'!$H$177, 1-FLOOR(LOG10('consensus values'!$H$177),1))</f>
        <v>3.4</v>
      </c>
      <c r="H115" s="8" t="s">
        <v>416</v>
      </c>
      <c r="I115" s="82" t="str">
        <f>FIXED('consensus values'!$P$177, 1-FLOOR(LOG10('consensus values'!$P$177),1))</f>
        <v>0.54</v>
      </c>
      <c r="J115" s="10" t="s">
        <v>436</v>
      </c>
      <c r="K115" s="10">
        <v>14</v>
      </c>
      <c r="L115" s="74" t="str">
        <f>IF('Summed Data'!$E$114="","",'Summed Data'!$E$114)</f>
        <v/>
      </c>
      <c r="M115" s="8"/>
      <c r="N115" s="8"/>
      <c r="O115" s="8"/>
      <c r="P115" s="8"/>
      <c r="Q115" s="8"/>
      <c r="R115" s="8"/>
      <c r="S115" s="8"/>
      <c r="T115" s="8"/>
      <c r="U115" s="8"/>
      <c r="V115" s="8"/>
      <c r="W115" s="8"/>
      <c r="X115" s="8"/>
      <c r="Y115" s="8"/>
    </row>
    <row r="116" spans="1:25" ht="15.75" customHeight="1" x14ac:dyDescent="0.25">
      <c r="A116" s="8"/>
      <c r="B116" s="8" t="str">
        <f>'Summed Data'!$A115</f>
        <v>PI 38:4</v>
      </c>
      <c r="C116" s="63">
        <f>AVERAGE('Summed Data'!$B$115:$D$115)</f>
        <v>15.8259518901446</v>
      </c>
      <c r="D116" s="8" t="s">
        <v>416</v>
      </c>
      <c r="E116" s="71">
        <f>_xlfn.STDEV.S('Summed Data'!$B$115:$D$115)</f>
        <v>1.1421470017095121</v>
      </c>
      <c r="F116" s="8"/>
      <c r="G116" s="80" t="str">
        <f>FIXED('consensus values'!$H$178, 1-FLOOR(LOG10('consensus values'!$H$178),1))</f>
        <v>19</v>
      </c>
      <c r="H116" s="8" t="s">
        <v>416</v>
      </c>
      <c r="I116" s="82" t="str">
        <f>FIXED('consensus values'!$P$178, 1-FLOOR(LOG10('consensus values'!$P$178),1))</f>
        <v>2.2</v>
      </c>
      <c r="J116" s="10" t="s">
        <v>436</v>
      </c>
      <c r="K116" s="10">
        <v>17</v>
      </c>
      <c r="L116" s="74" t="str">
        <f>IF('Summed Data'!$E$115="","",'Summed Data'!$E$115)</f>
        <v/>
      </c>
      <c r="M116" s="8"/>
      <c r="N116" s="8"/>
      <c r="O116" s="8"/>
      <c r="P116" s="8"/>
      <c r="Q116" s="8"/>
      <c r="R116" s="8"/>
      <c r="S116" s="8"/>
      <c r="T116" s="8"/>
      <c r="U116" s="8"/>
      <c r="V116" s="8"/>
      <c r="W116" s="8"/>
      <c r="X116" s="8"/>
      <c r="Y116" s="8"/>
    </row>
    <row r="117" spans="1:25" ht="15.75" customHeight="1" x14ac:dyDescent="0.25">
      <c r="A117" s="8"/>
      <c r="B117" s="8" t="str">
        <f>'Summed Data'!$A116</f>
        <v>PI 38:5</v>
      </c>
      <c r="C117" s="63">
        <f>AVERAGE('Summed Data'!$B$116:$D$116)</f>
        <v>0.92789846429656564</v>
      </c>
      <c r="D117" s="8" t="s">
        <v>416</v>
      </c>
      <c r="E117" s="71">
        <f>_xlfn.STDEV.S('Summed Data'!$B$116:$D$116)</f>
        <v>4.486410319817638E-2</v>
      </c>
      <c r="F117" s="8"/>
      <c r="G117" s="80" t="str">
        <f>FIXED('consensus values'!$H$179, 1-FLOOR(LOG10('consensus values'!$H$179),1))</f>
        <v>2.5</v>
      </c>
      <c r="H117" s="8" t="s">
        <v>416</v>
      </c>
      <c r="I117" s="82" t="str">
        <f>FIXED('consensus values'!$P$179, 1-FLOOR(LOG10('consensus values'!$P$179),1))</f>
        <v>0.44</v>
      </c>
      <c r="J117" s="10" t="s">
        <v>436</v>
      </c>
      <c r="K117" s="10">
        <v>15</v>
      </c>
      <c r="L117" s="74" t="str">
        <f>IF('Summed Data'!$E$116="","",'Summed Data'!$E$116)</f>
        <v/>
      </c>
      <c r="M117" s="8"/>
      <c r="N117" s="8"/>
      <c r="O117" s="8"/>
      <c r="P117" s="8"/>
      <c r="Q117" s="8"/>
      <c r="R117" s="8"/>
      <c r="S117" s="8"/>
      <c r="T117" s="8"/>
      <c r="U117" s="8"/>
      <c r="V117" s="8"/>
      <c r="W117" s="8"/>
      <c r="X117" s="8"/>
      <c r="Y117" s="8"/>
    </row>
    <row r="118" spans="1:25" ht="15.75" customHeight="1" x14ac:dyDescent="0.25">
      <c r="A118" s="8"/>
      <c r="B118" s="8" t="str">
        <f>'Summed Data'!$A117</f>
        <v>PI 38:6</v>
      </c>
      <c r="C118" s="63">
        <f>AVERAGE('Summed Data'!$B$117:$D$117)</f>
        <v>0.77676689322366999</v>
      </c>
      <c r="D118" s="8" t="s">
        <v>416</v>
      </c>
      <c r="E118" s="71">
        <f>_xlfn.STDEV.S('Summed Data'!$B$117:$D$117)</f>
        <v>0.10570641429675</v>
      </c>
      <c r="F118" s="8"/>
      <c r="G118" s="80" t="str">
        <f>FIXED('consensus values'!$H$180, 1-FLOOR(LOG10('consensus values'!$H$180),1))</f>
        <v>0.32</v>
      </c>
      <c r="H118" s="8" t="s">
        <v>416</v>
      </c>
      <c r="I118" s="82" t="str">
        <f>FIXED('consensus values'!$P$180, 1-FLOOR(LOG10('consensus values'!$P$180),1))</f>
        <v>0.031</v>
      </c>
      <c r="J118" s="10" t="s">
        <v>436</v>
      </c>
      <c r="K118" s="10">
        <v>10</v>
      </c>
      <c r="L118" s="74" t="str">
        <f>IF('Summed Data'!$E$117="","",'Summed Data'!$E$117)</f>
        <v/>
      </c>
      <c r="M118" s="8"/>
      <c r="N118" s="8"/>
      <c r="O118" s="8"/>
      <c r="P118" s="8"/>
      <c r="Q118" s="8"/>
      <c r="R118" s="8"/>
      <c r="S118" s="8"/>
      <c r="T118" s="8"/>
      <c r="U118" s="8"/>
      <c r="V118" s="8"/>
      <c r="W118" s="8"/>
      <c r="X118" s="8"/>
      <c r="Y118" s="8"/>
    </row>
    <row r="119" spans="1:25" ht="15.75" customHeight="1" x14ac:dyDescent="0.25">
      <c r="A119" s="8"/>
      <c r="B119" s="8" t="str">
        <f>'Summed Data'!$A118</f>
        <v>PI 40:4</v>
      </c>
      <c r="C119" s="63">
        <f>AVERAGE('Summed Data'!$B$118:$D$118)</f>
        <v>1.27746953669275</v>
      </c>
      <c r="D119" s="8" t="s">
        <v>416</v>
      </c>
      <c r="E119" s="71">
        <f>_xlfn.STDEV.S('Summed Data'!$B$118:$D$118)</f>
        <v>0.13875907049422148</v>
      </c>
      <c r="F119" s="8"/>
      <c r="G119" s="80" t="str">
        <f>FIXED('consensus values'!$H$181, 1-FLOOR(LOG10('consensus values'!$H$181),1))</f>
        <v>0.30</v>
      </c>
      <c r="H119" s="8" t="s">
        <v>416</v>
      </c>
      <c r="I119" s="82" t="str">
        <f>FIXED('consensus values'!$P$181, 1-FLOOR(LOG10('consensus values'!$P$181),1))</f>
        <v>0.042</v>
      </c>
      <c r="J119" s="10" t="s">
        <v>436</v>
      </c>
      <c r="K119" s="10">
        <v>7</v>
      </c>
      <c r="L119" s="74" t="str">
        <f>IF('Summed Data'!$E$118="","",'Summed Data'!$E$118)</f>
        <v/>
      </c>
      <c r="M119" s="8"/>
      <c r="N119" s="8"/>
      <c r="O119" s="8"/>
      <c r="P119" s="8"/>
      <c r="Q119" s="8"/>
      <c r="R119" s="8"/>
      <c r="S119" s="8"/>
      <c r="T119" s="8"/>
      <c r="U119" s="8"/>
      <c r="V119" s="8"/>
      <c r="W119" s="8"/>
      <c r="X119" s="8"/>
      <c r="Y119" s="8"/>
    </row>
    <row r="120" spans="1:25" ht="15.75" customHeight="1" x14ac:dyDescent="0.25">
      <c r="A120" s="8"/>
      <c r="B120" s="8" t="str">
        <f>'Summed Data'!$A119</f>
        <v>PI 40:6</v>
      </c>
      <c r="C120" s="63">
        <f>AVERAGE('Summed Data'!$B$119:$D$119)</f>
        <v>0.3854680296936277</v>
      </c>
      <c r="D120" s="8" t="s">
        <v>416</v>
      </c>
      <c r="E120" s="71">
        <f>_xlfn.STDEV.S('Summed Data'!$B$119:$D$119)</f>
        <v>4.5902566888707365E-3</v>
      </c>
      <c r="F120" s="8"/>
      <c r="G120" s="80" t="str">
        <f>FIXED('consensus values'!$H$182, 1-FLOOR(LOG10('consensus values'!$H$182),1))</f>
        <v>0.84</v>
      </c>
      <c r="H120" s="8" t="s">
        <v>416</v>
      </c>
      <c r="I120" s="82" t="str">
        <f>FIXED('consensus values'!$P$182, 1-FLOOR(LOG10('consensus values'!$P$182),1))</f>
        <v>0.16</v>
      </c>
      <c r="J120" s="10" t="s">
        <v>436</v>
      </c>
      <c r="K120" s="10">
        <v>12</v>
      </c>
      <c r="L120" s="74" t="str">
        <f>IF('Summed Data'!$E$119="","",'Summed Data'!$E$119)</f>
        <v/>
      </c>
      <c r="M120" s="8"/>
      <c r="N120" s="8"/>
      <c r="O120" s="8"/>
      <c r="P120" s="8"/>
      <c r="Q120" s="8"/>
      <c r="R120" s="8"/>
      <c r="S120" s="8"/>
      <c r="T120" s="8"/>
      <c r="U120" s="8"/>
      <c r="V120" s="8"/>
      <c r="W120" s="8"/>
      <c r="X120" s="8"/>
      <c r="Y120" s="8"/>
    </row>
    <row r="121" spans="1:25" ht="15.75" customHeight="1" x14ac:dyDescent="0.25">
      <c r="A121" s="8"/>
      <c r="B121" s="8" t="str">
        <f>'Summed Data'!$A120</f>
        <v>PG 36:2</v>
      </c>
      <c r="C121" s="63">
        <f>AVERAGE('Summed Data'!$B$120:$D$120)</f>
        <v>0.40953587963599603</v>
      </c>
      <c r="D121" s="8" t="s">
        <v>416</v>
      </c>
      <c r="E121" s="71">
        <f>_xlfn.STDEV.S('Summed Data'!$B$120:$D$120)</f>
        <v>8.6878937620912519E-2</v>
      </c>
      <c r="F121" s="8"/>
      <c r="G121" s="80" t="str">
        <f>FIXED('consensus values'!$H$183, 1-FLOOR(LOG10('consensus values'!$H$183),1))</f>
        <v>0.67</v>
      </c>
      <c r="H121" s="8" t="s">
        <v>416</v>
      </c>
      <c r="I121" s="82" t="str">
        <f>FIXED('consensus values'!$P$183, 1-FLOOR(LOG10('consensus values'!$P$183),1))</f>
        <v>0.24</v>
      </c>
      <c r="J121" s="10" t="s">
        <v>436</v>
      </c>
      <c r="K121" s="10">
        <v>6</v>
      </c>
      <c r="L121" s="74" t="str">
        <f>IF('Summed Data'!$E$120="","",'Summed Data'!$E$120)</f>
        <v/>
      </c>
      <c r="M121" s="8"/>
      <c r="N121" s="8"/>
      <c r="O121" s="8"/>
      <c r="P121" s="8"/>
      <c r="Q121" s="8"/>
      <c r="R121" s="8"/>
      <c r="S121" s="8"/>
      <c r="T121" s="8"/>
      <c r="U121" s="8"/>
      <c r="V121" s="8"/>
      <c r="W121" s="8"/>
      <c r="X121" s="8"/>
      <c r="Y121" s="8"/>
    </row>
    <row r="122" spans="1:25" ht="15.75" customHeight="1" x14ac:dyDescent="0.25">
      <c r="A122" s="8"/>
      <c r="B122" s="8" t="str">
        <f>'Summed Data'!$A121</f>
        <v>HexCer d42:1</v>
      </c>
      <c r="C122" s="63">
        <f>AVERAGE('Summed Data'!$B$121:$D$121)</f>
        <v>1.1848364021638908E-2</v>
      </c>
      <c r="D122" s="8" t="s">
        <v>416</v>
      </c>
      <c r="E122" s="71">
        <f>_xlfn.STDEV.S('Summed Data'!$B$121:$D$121)</f>
        <v>3.2782500330186871E-3</v>
      </c>
      <c r="F122" s="8"/>
      <c r="G122" s="80" t="str">
        <f>FIXED('consensus values'!$H$187, 1-FLOOR(LOG10('consensus values'!$H$187),1))</f>
        <v>2.7</v>
      </c>
      <c r="H122" s="8" t="s">
        <v>416</v>
      </c>
      <c r="I122" s="82" t="str">
        <f>FIXED('consensus values'!$P$187, 1-FLOOR(LOG10('consensus values'!$P$187),1))</f>
        <v>0.73</v>
      </c>
      <c r="J122" s="10" t="s">
        <v>436</v>
      </c>
      <c r="K122" s="10">
        <v>6</v>
      </c>
      <c r="L122" s="74" t="str">
        <f>IF('Summed Data'!$E$121="","",'Summed Data'!$E$121)</f>
        <v/>
      </c>
      <c r="M122" s="8"/>
      <c r="N122" s="8"/>
      <c r="O122" s="8"/>
      <c r="P122" s="8"/>
      <c r="Q122" s="8"/>
      <c r="R122" s="8"/>
      <c r="S122" s="8"/>
      <c r="T122" s="8"/>
      <c r="U122" s="8"/>
      <c r="V122" s="8"/>
      <c r="W122" s="8"/>
      <c r="X122" s="8"/>
      <c r="Y122" s="8"/>
    </row>
    <row r="123" spans="1:25" ht="15.75" customHeight="1" x14ac:dyDescent="0.25">
      <c r="A123" s="8"/>
      <c r="B123" s="8" t="str">
        <f>'Summed Data'!$A122</f>
        <v>SM d31:1</v>
      </c>
      <c r="C123" s="63">
        <f>AVERAGE('Summed Data'!$B$122:$D$122)</f>
        <v>4.2647968798236735E-2</v>
      </c>
      <c r="D123" s="8" t="s">
        <v>416</v>
      </c>
      <c r="E123" s="71">
        <f>_xlfn.STDEV.S('Summed Data'!$B$122:$D$122)</f>
        <v>3.2369826457320657E-3</v>
      </c>
      <c r="F123" s="8"/>
      <c r="G123" s="80" t="str">
        <f>FIXED('consensus values'!$H$196, 1-FLOOR(LOG10('consensus values'!$H$196),1))</f>
        <v>0.19</v>
      </c>
      <c r="H123" s="8" t="s">
        <v>416</v>
      </c>
      <c r="I123" s="82" t="str">
        <f>FIXED('consensus values'!$P$196, 1-FLOOR(LOG10('consensus values'!$P$196),1))</f>
        <v>0.049</v>
      </c>
      <c r="J123" s="10" t="s">
        <v>436</v>
      </c>
      <c r="K123" s="10">
        <v>5</v>
      </c>
      <c r="L123" s="74" t="str">
        <f>IF('Summed Data'!$E$122="","",'Summed Data'!$E$122)</f>
        <v/>
      </c>
      <c r="M123" s="8"/>
      <c r="N123" s="8"/>
      <c r="O123" s="8"/>
      <c r="P123" s="8"/>
      <c r="Q123" s="8"/>
      <c r="R123" s="8"/>
      <c r="S123" s="8"/>
      <c r="T123" s="8"/>
      <c r="U123" s="8"/>
      <c r="V123" s="8"/>
      <c r="W123" s="8"/>
      <c r="X123" s="8"/>
      <c r="Y123" s="8"/>
    </row>
    <row r="124" spans="1:25" ht="15.75" customHeight="1" x14ac:dyDescent="0.25">
      <c r="A124" s="8"/>
      <c r="B124" s="8" t="str">
        <f>'Summed Data'!$A123</f>
        <v>SM d32:1</v>
      </c>
      <c r="C124" s="63">
        <f>AVERAGE('Summed Data'!$B$123:$D$123)</f>
        <v>3.6239669228590503</v>
      </c>
      <c r="D124" s="8" t="s">
        <v>416</v>
      </c>
      <c r="E124" s="71">
        <f>_xlfn.STDEV.S('Summed Data'!$B$123:$D$123)</f>
        <v>0.36380206847142288</v>
      </c>
      <c r="F124" s="8"/>
      <c r="G124" s="80" t="str">
        <f>FIXED('consensus values'!$H$197, 1-FLOOR(LOG10('consensus values'!$H$197),1))</f>
        <v>8.4</v>
      </c>
      <c r="H124" s="8" t="s">
        <v>416</v>
      </c>
      <c r="I124" s="82" t="str">
        <f>FIXED('consensus values'!$P$197, 1-FLOOR(LOG10('consensus values'!$P$197),1))</f>
        <v>1.4</v>
      </c>
      <c r="J124" s="10" t="s">
        <v>436</v>
      </c>
      <c r="K124" s="10">
        <v>14</v>
      </c>
      <c r="L124" s="74" t="str">
        <f>IF('Summed Data'!$E$123="","",'Summed Data'!$E$123)</f>
        <v/>
      </c>
      <c r="M124" s="8"/>
      <c r="N124" s="8"/>
      <c r="O124" s="8"/>
      <c r="P124" s="8"/>
      <c r="Q124" s="8"/>
      <c r="R124" s="8"/>
      <c r="S124" s="8"/>
      <c r="T124" s="8"/>
      <c r="U124" s="8"/>
      <c r="V124" s="8"/>
      <c r="W124" s="8"/>
      <c r="X124" s="8"/>
      <c r="Y124" s="8"/>
    </row>
    <row r="125" spans="1:25" ht="15.75" customHeight="1" x14ac:dyDescent="0.25">
      <c r="A125" s="8"/>
      <c r="B125" s="8" t="str">
        <f>'Summed Data'!$A124</f>
        <v>SM d32:2</v>
      </c>
      <c r="C125" s="63">
        <f>AVERAGE('Summed Data'!$B$124:$D$124)</f>
        <v>0.23876191545849701</v>
      </c>
      <c r="D125" s="8" t="s">
        <v>416</v>
      </c>
      <c r="E125" s="71">
        <f>_xlfn.STDEV.S('Summed Data'!$B$124:$D$124)</f>
        <v>2.0131341354949404E-2</v>
      </c>
      <c r="F125" s="8"/>
      <c r="G125" s="80" t="str">
        <f>FIXED('consensus values'!$H$198, 1-FLOOR(LOG10('consensus values'!$H$198),1))</f>
        <v>0.66</v>
      </c>
      <c r="H125" s="8" t="s">
        <v>416</v>
      </c>
      <c r="I125" s="82" t="str">
        <f>FIXED('consensus values'!$P$198, 1-FLOOR(LOG10('consensus values'!$P$198),1))</f>
        <v>0.24</v>
      </c>
      <c r="J125" s="10" t="s">
        <v>436</v>
      </c>
      <c r="K125" s="10">
        <v>10</v>
      </c>
      <c r="L125" s="74" t="str">
        <f>IF('Summed Data'!$E$124="","",'Summed Data'!$E$124)</f>
        <v/>
      </c>
      <c r="M125" s="8"/>
      <c r="N125" s="8"/>
      <c r="O125" s="8"/>
      <c r="P125" s="8"/>
      <c r="Q125" s="8"/>
      <c r="R125" s="8"/>
      <c r="S125" s="8"/>
      <c r="T125" s="8"/>
      <c r="U125" s="8"/>
      <c r="V125" s="8"/>
      <c r="W125" s="8"/>
      <c r="X125" s="8"/>
      <c r="Y125" s="8"/>
    </row>
    <row r="126" spans="1:25" ht="15.75" customHeight="1" x14ac:dyDescent="0.25">
      <c r="A126" s="8"/>
      <c r="B126" s="8" t="str">
        <f>'Summed Data'!$A125</f>
        <v>SM d33:1</v>
      </c>
      <c r="C126" s="63">
        <f>AVERAGE('Summed Data'!$B$125:$D$125)</f>
        <v>2.2890769339418533</v>
      </c>
      <c r="D126" s="8" t="s">
        <v>416</v>
      </c>
      <c r="E126" s="71">
        <f>_xlfn.STDEV.S('Summed Data'!$B$125:$D$125)</f>
        <v>0.192187548105967</v>
      </c>
      <c r="F126" s="8"/>
      <c r="G126" s="80" t="str">
        <f>FIXED('consensus values'!$H$199, 1-FLOOR(LOG10('consensus values'!$H$199),1))</f>
        <v>4.7</v>
      </c>
      <c r="H126" s="8" t="s">
        <v>416</v>
      </c>
      <c r="I126" s="82" t="str">
        <f>FIXED('consensus values'!$P$199, 1-FLOOR(LOG10('consensus values'!$P$199),1))</f>
        <v>0.64</v>
      </c>
      <c r="J126" s="10" t="s">
        <v>436</v>
      </c>
      <c r="K126" s="10">
        <v>14</v>
      </c>
      <c r="L126" s="74" t="str">
        <f>IF('Summed Data'!$E$125="","",'Summed Data'!$E$125)</f>
        <v/>
      </c>
      <c r="M126" s="8"/>
      <c r="N126" s="8"/>
      <c r="O126" s="8"/>
      <c r="P126" s="8"/>
      <c r="Q126" s="8"/>
      <c r="R126" s="8"/>
      <c r="S126" s="8"/>
      <c r="T126" s="8"/>
      <c r="U126" s="8"/>
      <c r="V126" s="8"/>
      <c r="W126" s="8"/>
      <c r="X126" s="8"/>
      <c r="Y126" s="8"/>
    </row>
    <row r="127" spans="1:25" ht="15.75" customHeight="1" x14ac:dyDescent="0.25">
      <c r="A127" s="8"/>
      <c r="B127" s="8" t="str">
        <f>'Summed Data'!$A126</f>
        <v>SM d34:0</v>
      </c>
      <c r="C127" s="63">
        <f>AVERAGE('Summed Data'!$B$126:$D$126)</f>
        <v>4.04965389024711</v>
      </c>
      <c r="D127" s="8" t="s">
        <v>416</v>
      </c>
      <c r="E127" s="71">
        <f>_xlfn.STDEV.S('Summed Data'!$B$126:$D$126)</f>
        <v>0.22084728569908632</v>
      </c>
      <c r="F127" s="8"/>
      <c r="G127" s="80" t="str">
        <f>FIXED('consensus values'!$H$200, 1-FLOOR(LOG10('consensus values'!$H$200),1))</f>
        <v>5.8</v>
      </c>
      <c r="H127" s="8" t="s">
        <v>416</v>
      </c>
      <c r="I127" s="82" t="str">
        <f>FIXED('consensus values'!$P$200, 1-FLOOR(LOG10('consensus values'!$P$200),1))</f>
        <v>1.3</v>
      </c>
      <c r="J127" s="10" t="s">
        <v>436</v>
      </c>
      <c r="K127" s="10">
        <v>14</v>
      </c>
      <c r="L127" s="74" t="str">
        <f>IF('Summed Data'!$E$126="","",'Summed Data'!$E$126)</f>
        <v/>
      </c>
      <c r="M127" s="8"/>
      <c r="N127" s="8"/>
      <c r="O127" s="8"/>
      <c r="P127" s="8"/>
      <c r="Q127" s="8"/>
      <c r="R127" s="8"/>
      <c r="S127" s="8"/>
      <c r="T127" s="8"/>
      <c r="U127" s="8"/>
      <c r="V127" s="8"/>
      <c r="W127" s="8"/>
      <c r="X127" s="8"/>
      <c r="Y127" s="8"/>
    </row>
    <row r="128" spans="1:25" ht="15.75" customHeight="1" x14ac:dyDescent="0.25">
      <c r="A128" s="8"/>
      <c r="B128" s="8" t="str">
        <f>'Summed Data'!$A127</f>
        <v>SM d34:1</v>
      </c>
      <c r="C128" s="63">
        <f>AVERAGE('Summed Data'!$B$127:$D$127)</f>
        <v>43.584258988426939</v>
      </c>
      <c r="D128" s="8" t="s">
        <v>416</v>
      </c>
      <c r="E128" s="71">
        <f>_xlfn.STDEV.S('Summed Data'!$B$127:$D$127)</f>
        <v>3.709642308464868</v>
      </c>
      <c r="F128" s="8"/>
      <c r="G128" s="80" t="str">
        <f>FIXED('consensus values'!$H$201, 1-FLOOR(LOG10('consensus values'!$H$201),1))</f>
        <v>100</v>
      </c>
      <c r="H128" s="8" t="s">
        <v>416</v>
      </c>
      <c r="I128" s="82" t="str">
        <f>FIXED('consensus values'!$P$201, 1-FLOOR(LOG10('consensus values'!$P$201),1))</f>
        <v>15</v>
      </c>
      <c r="J128" s="10" t="s">
        <v>436</v>
      </c>
      <c r="K128" s="10">
        <v>21</v>
      </c>
      <c r="L128" s="74" t="str">
        <f>IF('Summed Data'!$E$127="","",'Summed Data'!$E$127)</f>
        <v/>
      </c>
      <c r="M128" s="8"/>
      <c r="N128" s="8"/>
      <c r="O128" s="8"/>
      <c r="P128" s="8"/>
      <c r="Q128" s="8"/>
      <c r="R128" s="8"/>
      <c r="S128" s="8"/>
      <c r="T128" s="8"/>
      <c r="U128" s="8"/>
      <c r="V128" s="8"/>
      <c r="W128" s="8"/>
      <c r="X128" s="8"/>
      <c r="Y128" s="8"/>
    </row>
    <row r="129" spans="1:25" ht="15.75" customHeight="1" x14ac:dyDescent="0.25">
      <c r="A129" s="8"/>
      <c r="B129" s="8" t="str">
        <f>'Summed Data'!$A128</f>
        <v>SM d34:2</v>
      </c>
      <c r="C129" s="63">
        <f>AVERAGE('Summed Data'!$B$128:$D$128)</f>
        <v>7.6125448220590899</v>
      </c>
      <c r="D129" s="8" t="s">
        <v>416</v>
      </c>
      <c r="E129" s="71">
        <f>_xlfn.STDEV.S('Summed Data'!$B$128:$D$128)</f>
        <v>0.78926423645947874</v>
      </c>
      <c r="F129" s="8"/>
      <c r="G129" s="80" t="str">
        <f>FIXED('consensus values'!$H$202, 1-FLOOR(LOG10('consensus values'!$H$202),1))</f>
        <v>16</v>
      </c>
      <c r="H129" s="8" t="s">
        <v>416</v>
      </c>
      <c r="I129" s="82" t="str">
        <f>FIXED('consensus values'!$P$202, 1-FLOOR(LOG10('consensus values'!$P$202),1))</f>
        <v>2.2</v>
      </c>
      <c r="J129" s="10" t="s">
        <v>436</v>
      </c>
      <c r="K129" s="10">
        <v>17</v>
      </c>
      <c r="L129" s="74" t="str">
        <f>IF('Summed Data'!$E$128="","",'Summed Data'!$E$128)</f>
        <v/>
      </c>
      <c r="M129" s="8"/>
      <c r="N129" s="8"/>
      <c r="O129" s="8"/>
      <c r="P129" s="8"/>
      <c r="Q129" s="8"/>
      <c r="R129" s="8"/>
      <c r="S129" s="8"/>
      <c r="T129" s="8"/>
      <c r="U129" s="8"/>
      <c r="V129" s="8"/>
      <c r="W129" s="8"/>
      <c r="X129" s="8"/>
      <c r="Y129" s="8"/>
    </row>
    <row r="130" spans="1:25" ht="15.75" customHeight="1" x14ac:dyDescent="0.25">
      <c r="A130" s="8"/>
      <c r="B130" s="8" t="str">
        <f>'Summed Data'!$A129</f>
        <v>SM d35:1</v>
      </c>
      <c r="C130" s="63">
        <f>AVERAGE('Summed Data'!$B$129:$D$129)</f>
        <v>0.85046621564032965</v>
      </c>
      <c r="D130" s="8" t="s">
        <v>416</v>
      </c>
      <c r="E130" s="71">
        <f>_xlfn.STDEV.S('Summed Data'!$B$129:$D$129)</f>
        <v>9.6280927232783045E-2</v>
      </c>
      <c r="F130" s="8"/>
      <c r="G130" s="80" t="str">
        <f>FIXED('consensus values'!$H$203, 1-FLOOR(LOG10('consensus values'!$H$203),1))</f>
        <v>2.5</v>
      </c>
      <c r="H130" s="8" t="s">
        <v>416</v>
      </c>
      <c r="I130" s="82" t="str">
        <f>FIXED('consensus values'!$P$203, 1-FLOOR(LOG10('consensus values'!$P$203),1))</f>
        <v>0.58</v>
      </c>
      <c r="J130" s="10" t="s">
        <v>436</v>
      </c>
      <c r="K130" s="10">
        <v>9</v>
      </c>
      <c r="L130" s="74" t="str">
        <f>IF('Summed Data'!$E$129="","",'Summed Data'!$E$129)</f>
        <v/>
      </c>
      <c r="M130" s="8"/>
      <c r="N130" s="8"/>
      <c r="O130" s="8"/>
      <c r="P130" s="8"/>
      <c r="Q130" s="8"/>
      <c r="R130" s="8"/>
      <c r="S130" s="8"/>
      <c r="T130" s="8"/>
      <c r="U130" s="8"/>
      <c r="V130" s="8"/>
      <c r="W130" s="8"/>
      <c r="X130" s="8"/>
      <c r="Y130" s="8"/>
    </row>
    <row r="131" spans="1:25" ht="15.75" customHeight="1" x14ac:dyDescent="0.25">
      <c r="A131" s="8"/>
      <c r="B131" s="8" t="str">
        <f>'Summed Data'!$A130</f>
        <v>SM d35:2</v>
      </c>
      <c r="C131" s="63">
        <f>AVERAGE('Summed Data'!$B$130:$D$130)</f>
        <v>0.21975900905092363</v>
      </c>
      <c r="D131" s="8" t="s">
        <v>416</v>
      </c>
      <c r="E131" s="71">
        <f>_xlfn.STDEV.S('Summed Data'!$B$130:$D$130)</f>
        <v>1.9410470543168273E-2</v>
      </c>
      <c r="F131" s="8"/>
      <c r="G131" s="80" t="str">
        <f>FIXED('consensus values'!$H$204, 1-FLOOR(LOG10('consensus values'!$H$204),1))</f>
        <v>0.52</v>
      </c>
      <c r="H131" s="8" t="s">
        <v>416</v>
      </c>
      <c r="I131" s="82" t="str">
        <f>FIXED('consensus values'!$P$204, 1-FLOOR(LOG10('consensus values'!$P$204),1))</f>
        <v>0.21</v>
      </c>
      <c r="J131" s="10" t="s">
        <v>436</v>
      </c>
      <c r="K131" s="10">
        <v>6</v>
      </c>
      <c r="L131" s="74" t="str">
        <f>IF('Summed Data'!$E$130="","",'Summed Data'!$E$130)</f>
        <v/>
      </c>
      <c r="M131" s="8"/>
      <c r="N131" s="8"/>
      <c r="O131" s="8"/>
      <c r="P131" s="8"/>
      <c r="Q131" s="8"/>
      <c r="R131" s="8"/>
      <c r="S131" s="8"/>
      <c r="T131" s="8"/>
      <c r="U131" s="8"/>
      <c r="V131" s="8"/>
      <c r="W131" s="8"/>
      <c r="X131" s="8"/>
      <c r="Y131" s="8"/>
    </row>
    <row r="132" spans="1:25" ht="15.75" customHeight="1" x14ac:dyDescent="0.25">
      <c r="A132" s="8"/>
      <c r="B132" s="8" t="str">
        <f>'Summed Data'!$A131</f>
        <v>SM d36:0</v>
      </c>
      <c r="C132" s="63">
        <f>AVERAGE('Summed Data'!$B$131:$D$131)</f>
        <v>0.95760772177494236</v>
      </c>
      <c r="D132" s="8" t="s">
        <v>416</v>
      </c>
      <c r="E132" s="71">
        <f>_xlfn.STDEV.S('Summed Data'!$B$131:$D$131)</f>
        <v>2.7338343308201247E-2</v>
      </c>
      <c r="F132" s="8"/>
      <c r="G132" s="80" t="str">
        <f>FIXED('consensus values'!$H$205, 1-FLOOR(LOG10('consensus values'!$H$205),1))</f>
        <v>2.0</v>
      </c>
      <c r="H132" s="8" t="s">
        <v>416</v>
      </c>
      <c r="I132" s="82" t="str">
        <f>FIXED('consensus values'!$P$205, 1-FLOOR(LOG10('consensus values'!$P$205),1))</f>
        <v>0.49</v>
      </c>
      <c r="J132" s="10" t="s">
        <v>436</v>
      </c>
      <c r="K132" s="10">
        <v>11</v>
      </c>
      <c r="L132" s="74" t="str">
        <f>IF('Summed Data'!$E$131="","",'Summed Data'!$E$131)</f>
        <v/>
      </c>
      <c r="M132" s="8"/>
      <c r="N132" s="8"/>
      <c r="O132" s="8"/>
      <c r="P132" s="8"/>
      <c r="Q132" s="8"/>
      <c r="R132" s="8"/>
      <c r="S132" s="8"/>
      <c r="T132" s="8"/>
      <c r="U132" s="8"/>
      <c r="V132" s="8"/>
      <c r="W132" s="8"/>
      <c r="X132" s="8"/>
      <c r="Y132" s="8"/>
    </row>
    <row r="133" spans="1:25" ht="15.75" customHeight="1" x14ac:dyDescent="0.25">
      <c r="A133" s="8"/>
      <c r="B133" s="8" t="str">
        <f>'Summed Data'!$A132</f>
        <v>SM d36:1</v>
      </c>
      <c r="C133" s="63">
        <f>AVERAGE('Summed Data'!$B$132:$D$132)</f>
        <v>8.9821197753508635</v>
      </c>
      <c r="D133" s="8" t="s">
        <v>416</v>
      </c>
      <c r="E133" s="71">
        <f>_xlfn.STDEV.S('Summed Data'!$B$132:$D$132)</f>
        <v>0.90477227934604609</v>
      </c>
      <c r="F133" s="8"/>
      <c r="G133" s="80" t="str">
        <f>FIXED('consensus values'!$H$206, 1-FLOOR(LOG10('consensus values'!$H$206),1))</f>
        <v>20</v>
      </c>
      <c r="H133" s="8" t="s">
        <v>416</v>
      </c>
      <c r="I133" s="82" t="str">
        <f>FIXED('consensus values'!$P$206, 1-FLOOR(LOG10('consensus values'!$P$206),1))</f>
        <v>3.7</v>
      </c>
      <c r="J133" s="10" t="s">
        <v>436</v>
      </c>
      <c r="K133" s="10">
        <v>22</v>
      </c>
      <c r="L133" s="74" t="str">
        <f>IF('Summed Data'!$E$132="","",'Summed Data'!$E$132)</f>
        <v/>
      </c>
      <c r="M133" s="8"/>
      <c r="N133" s="8"/>
      <c r="O133" s="8"/>
      <c r="P133" s="8"/>
      <c r="Q133" s="8"/>
      <c r="R133" s="8"/>
      <c r="S133" s="8"/>
      <c r="T133" s="8"/>
      <c r="U133" s="8"/>
      <c r="V133" s="8"/>
      <c r="W133" s="8"/>
      <c r="X133" s="8"/>
      <c r="Y133" s="8"/>
    </row>
    <row r="134" spans="1:25" ht="15.75" customHeight="1" x14ac:dyDescent="0.25">
      <c r="A134" s="8"/>
      <c r="B134" s="8" t="str">
        <f>'Summed Data'!$A133</f>
        <v>SM d36:2</v>
      </c>
      <c r="C134" s="63">
        <f>AVERAGE('Summed Data'!$B$133:$D$133)</f>
        <v>4.4803129222690901</v>
      </c>
      <c r="D134" s="8" t="s">
        <v>416</v>
      </c>
      <c r="E134" s="71">
        <f>_xlfn.STDEV.S('Summed Data'!$B$133:$D$133)</f>
        <v>0.33979326606261945</v>
      </c>
      <c r="F134" s="8"/>
      <c r="G134" s="80" t="str">
        <f>FIXED('consensus values'!$H$207, 1-FLOOR(LOG10('consensus values'!$H$207),1))</f>
        <v>9.6</v>
      </c>
      <c r="H134" s="8" t="s">
        <v>416</v>
      </c>
      <c r="I134" s="82" t="str">
        <f>FIXED('consensus values'!$P$207, 1-FLOOR(LOG10('consensus values'!$P$207),1))</f>
        <v>1.5</v>
      </c>
      <c r="J134" s="10" t="s">
        <v>436</v>
      </c>
      <c r="K134" s="10">
        <v>22</v>
      </c>
      <c r="L134" s="74" t="str">
        <f>IF('Summed Data'!$E$133="","",'Summed Data'!$E$133)</f>
        <v/>
      </c>
      <c r="M134" s="8"/>
      <c r="N134" s="8"/>
      <c r="O134" s="8"/>
      <c r="P134" s="8"/>
      <c r="Q134" s="8"/>
      <c r="R134" s="8"/>
      <c r="S134" s="8"/>
      <c r="T134" s="8"/>
      <c r="U134" s="8"/>
      <c r="V134" s="8"/>
      <c r="W134" s="8"/>
      <c r="X134" s="8"/>
      <c r="Y134" s="8"/>
    </row>
    <row r="135" spans="1:25" ht="15.75" customHeight="1" x14ac:dyDescent="0.25">
      <c r="A135" s="8"/>
      <c r="B135" s="8" t="str">
        <f>'Summed Data'!$A134</f>
        <v>SM d36:3</v>
      </c>
      <c r="C135" s="63">
        <f>AVERAGE('Summed Data'!$B$134:$D$134)</f>
        <v>1.7460208298707265</v>
      </c>
      <c r="D135" s="8" t="s">
        <v>416</v>
      </c>
      <c r="E135" s="71">
        <f>_xlfn.STDEV.S('Summed Data'!$B$134:$D$134)</f>
        <v>6.9582544473406713E-2</v>
      </c>
      <c r="F135" s="8"/>
      <c r="G135" s="80" t="str">
        <f>FIXED('consensus values'!$H$208, 1-FLOOR(LOG10('consensus values'!$H$208),1))</f>
        <v>1.3</v>
      </c>
      <c r="H135" s="8" t="s">
        <v>416</v>
      </c>
      <c r="I135" s="82" t="str">
        <f>FIXED('consensus values'!$P$208, 1-FLOOR(LOG10('consensus values'!$P$208),1))</f>
        <v>0.41</v>
      </c>
      <c r="J135" s="10" t="s">
        <v>436</v>
      </c>
      <c r="K135" s="10">
        <v>13</v>
      </c>
      <c r="L135" s="74" t="str">
        <f>IF('Summed Data'!$E$134="","",'Summed Data'!$E$134)</f>
        <v/>
      </c>
      <c r="M135" s="8"/>
      <c r="N135" s="8"/>
      <c r="O135" s="8"/>
      <c r="P135" s="8"/>
      <c r="Q135" s="8"/>
      <c r="R135" s="8"/>
      <c r="S135" s="8"/>
      <c r="T135" s="8"/>
      <c r="U135" s="8"/>
      <c r="V135" s="8"/>
      <c r="W135" s="8"/>
      <c r="X135" s="8"/>
      <c r="Y135" s="8"/>
    </row>
    <row r="136" spans="1:25" ht="15.75" customHeight="1" x14ac:dyDescent="0.25">
      <c r="A136" s="8"/>
      <c r="B136" s="8" t="str">
        <f>'Summed Data'!$A135</f>
        <v>SM d37:1</v>
      </c>
      <c r="C136" s="63">
        <f>AVERAGE('Summed Data'!$B$135:$D$135)</f>
        <v>0.423105696422299</v>
      </c>
      <c r="D136" s="8" t="s">
        <v>416</v>
      </c>
      <c r="E136" s="71">
        <f>_xlfn.STDEV.S('Summed Data'!$B$135:$D$135)</f>
        <v>7.5486238328895575E-2</v>
      </c>
      <c r="F136" s="8"/>
      <c r="G136" s="80" t="str">
        <f>FIXED('consensus values'!$H$209, 1-FLOOR(LOG10('consensus values'!$H$209),1))</f>
        <v>1.0</v>
      </c>
      <c r="H136" s="8" t="s">
        <v>416</v>
      </c>
      <c r="I136" s="82" t="str">
        <f>FIXED('consensus values'!$P$209, 1-FLOOR(LOG10('consensus values'!$P$209),1))</f>
        <v>0.23</v>
      </c>
      <c r="J136" s="10" t="s">
        <v>436</v>
      </c>
      <c r="K136" s="10">
        <v>11</v>
      </c>
      <c r="L136" s="74" t="str">
        <f>IF('Summed Data'!$E$135="","",'Summed Data'!$E$135)</f>
        <v/>
      </c>
      <c r="M136" s="8"/>
      <c r="N136" s="8"/>
      <c r="O136" s="8"/>
      <c r="P136" s="8"/>
      <c r="Q136" s="8"/>
      <c r="R136" s="8"/>
      <c r="S136" s="8"/>
      <c r="T136" s="8"/>
      <c r="U136" s="8"/>
      <c r="V136" s="8"/>
      <c r="W136" s="8"/>
      <c r="X136" s="8"/>
      <c r="Y136" s="8"/>
    </row>
    <row r="137" spans="1:25" ht="15.75" customHeight="1" x14ac:dyDescent="0.25">
      <c r="A137" s="8"/>
      <c r="B137" s="8" t="str">
        <f>'Summed Data'!$A136</f>
        <v>SM d38:1</v>
      </c>
      <c r="C137" s="63">
        <f>AVERAGE('Summed Data'!$B$136:$D$136)</f>
        <v>9.1261852024239012</v>
      </c>
      <c r="D137" s="8" t="s">
        <v>416</v>
      </c>
      <c r="E137" s="71">
        <f>_xlfn.STDEV.S('Summed Data'!$B$136:$D$136)</f>
        <v>0.87491344072590227</v>
      </c>
      <c r="F137" s="8"/>
      <c r="G137" s="80" t="str">
        <f>FIXED('consensus values'!$H$210, 1-FLOOR(LOG10('consensus values'!$H$210),1))</f>
        <v>11</v>
      </c>
      <c r="H137" s="8" t="s">
        <v>416</v>
      </c>
      <c r="I137" s="82" t="str">
        <f>FIXED('consensus values'!$P$210, 1-FLOOR(LOG10('consensus values'!$P$210),1))</f>
        <v>3.1</v>
      </c>
      <c r="J137" s="10" t="s">
        <v>436</v>
      </c>
      <c r="K137" s="10">
        <v>17</v>
      </c>
      <c r="L137" s="74" t="str">
        <f>IF('Summed Data'!$E$136="","",'Summed Data'!$E$136)</f>
        <v/>
      </c>
      <c r="M137" s="8"/>
      <c r="N137" s="8"/>
      <c r="O137" s="8"/>
      <c r="P137" s="8"/>
      <c r="Q137" s="8"/>
      <c r="R137" s="8"/>
      <c r="S137" s="8"/>
      <c r="T137" s="8"/>
      <c r="U137" s="8"/>
      <c r="V137" s="8"/>
      <c r="W137" s="8"/>
      <c r="X137" s="8"/>
      <c r="Y137" s="8"/>
    </row>
    <row r="138" spans="1:25" ht="15.75" customHeight="1" x14ac:dyDescent="0.25">
      <c r="A138" s="8"/>
      <c r="B138" s="8" t="str">
        <f>'Summed Data'!$A137</f>
        <v>SM d38:2</v>
      </c>
      <c r="C138" s="63">
        <f>AVERAGE('Summed Data'!$B$137:$D$137)</f>
        <v>2.5205129217636433</v>
      </c>
      <c r="D138" s="8" t="s">
        <v>416</v>
      </c>
      <c r="E138" s="71">
        <f>_xlfn.STDEV.S('Summed Data'!$B$137:$D$137)</f>
        <v>0.29075252829353448</v>
      </c>
      <c r="F138" s="8"/>
      <c r="G138" s="80" t="str">
        <f>FIXED('consensus values'!$H$211, 1-FLOOR(LOG10('consensus values'!$H$211),1))</f>
        <v>5.2</v>
      </c>
      <c r="H138" s="8" t="s">
        <v>416</v>
      </c>
      <c r="I138" s="82" t="str">
        <f>FIXED('consensus values'!$P$211, 1-FLOOR(LOG10('consensus values'!$P$211),1))</f>
        <v>1.3</v>
      </c>
      <c r="J138" s="10" t="s">
        <v>436</v>
      </c>
      <c r="K138" s="10">
        <v>17</v>
      </c>
      <c r="L138" s="74" t="str">
        <f>IF('Summed Data'!$E$137="","",'Summed Data'!$E$137)</f>
        <v/>
      </c>
      <c r="M138" s="8"/>
      <c r="N138" s="8"/>
      <c r="O138" s="8"/>
      <c r="P138" s="8"/>
      <c r="Q138" s="8"/>
      <c r="R138" s="8"/>
      <c r="S138" s="8"/>
      <c r="T138" s="8"/>
      <c r="U138" s="8"/>
      <c r="V138" s="8"/>
      <c r="W138" s="8"/>
      <c r="X138" s="8"/>
      <c r="Y138" s="8"/>
    </row>
    <row r="139" spans="1:25" ht="15.75" customHeight="1" x14ac:dyDescent="0.25">
      <c r="A139" s="8"/>
      <c r="B139" s="8" t="str">
        <f>'Summed Data'!$A138</f>
        <v>SM d39:1</v>
      </c>
      <c r="C139" s="63">
        <f>AVERAGE('Summed Data'!$B$138:$D$138)</f>
        <v>3.0798099242655064</v>
      </c>
      <c r="D139" s="8" t="s">
        <v>416</v>
      </c>
      <c r="E139" s="71">
        <f>_xlfn.STDEV.S('Summed Data'!$B$138:$D$138)</f>
        <v>0.33893607755428296</v>
      </c>
      <c r="F139" s="8"/>
      <c r="G139" s="80" t="str">
        <f>FIXED('consensus values'!$H$213, 1-FLOOR(LOG10('consensus values'!$H$213),1))</f>
        <v>3.6</v>
      </c>
      <c r="H139" s="8" t="s">
        <v>416</v>
      </c>
      <c r="I139" s="82" t="str">
        <f>FIXED('consensus values'!$P$213, 1-FLOOR(LOG10('consensus values'!$P$213),1))</f>
        <v>1.0</v>
      </c>
      <c r="J139" s="10" t="s">
        <v>436</v>
      </c>
      <c r="K139" s="10">
        <v>14</v>
      </c>
      <c r="L139" s="74" t="str">
        <f>IF('Summed Data'!$E$138="","",'Summed Data'!$E$138)</f>
        <v/>
      </c>
      <c r="M139" s="8"/>
      <c r="N139" s="8"/>
      <c r="O139" s="8"/>
      <c r="P139" s="8"/>
      <c r="Q139" s="8"/>
      <c r="R139" s="8"/>
      <c r="S139" s="8"/>
      <c r="T139" s="8"/>
      <c r="U139" s="8"/>
      <c r="V139" s="8"/>
      <c r="W139" s="8"/>
      <c r="X139" s="8"/>
      <c r="Y139" s="8"/>
    </row>
    <row r="140" spans="1:25" ht="15.75" customHeight="1" x14ac:dyDescent="0.25">
      <c r="A140" s="8"/>
      <c r="B140" s="8" t="str">
        <f>'Summed Data'!$A139</f>
        <v>SM d39:2</v>
      </c>
      <c r="C140" s="63">
        <f>AVERAGE('Summed Data'!$B$139:$D$139)</f>
        <v>0.3929659756174016</v>
      </c>
      <c r="D140" s="8" t="s">
        <v>416</v>
      </c>
      <c r="E140" s="71">
        <f>_xlfn.STDEV.S('Summed Data'!$B$139:$D$139)</f>
        <v>2.7730310514343898E-2</v>
      </c>
      <c r="F140" s="8"/>
      <c r="G140" s="80" t="str">
        <f>FIXED('consensus values'!$H$214, 1-FLOOR(LOG10('consensus values'!$H$214),1))</f>
        <v>0.61</v>
      </c>
      <c r="H140" s="8" t="s">
        <v>416</v>
      </c>
      <c r="I140" s="82" t="str">
        <f>FIXED('consensus values'!$P$214, 1-FLOOR(LOG10('consensus values'!$P$214),1))</f>
        <v>0.16</v>
      </c>
      <c r="J140" s="10" t="s">
        <v>436</v>
      </c>
      <c r="K140" s="10">
        <v>9</v>
      </c>
      <c r="L140" s="74" t="str">
        <f>IF('Summed Data'!$E$139="","",'Summed Data'!$E$139)</f>
        <v/>
      </c>
      <c r="M140" s="8"/>
      <c r="N140" s="8"/>
      <c r="O140" s="8"/>
      <c r="P140" s="8"/>
      <c r="Q140" s="8"/>
      <c r="R140" s="8"/>
      <c r="S140" s="8"/>
      <c r="T140" s="8"/>
      <c r="U140" s="8"/>
      <c r="V140" s="8"/>
      <c r="W140" s="8"/>
      <c r="X140" s="8"/>
      <c r="Y140" s="8"/>
    </row>
    <row r="141" spans="1:25" ht="15.75" customHeight="1" x14ac:dyDescent="0.25">
      <c r="A141" s="8"/>
      <c r="B141" s="8" t="str">
        <f>'Summed Data'!$A140</f>
        <v>SM d40:1</v>
      </c>
      <c r="C141" s="63">
        <f>AVERAGE('Summed Data'!$B$140:$D$140)</f>
        <v>18.369734296737434</v>
      </c>
      <c r="D141" s="8" t="s">
        <v>416</v>
      </c>
      <c r="E141" s="71">
        <f>_xlfn.STDEV.S('Summed Data'!$B$140:$D$140)</f>
        <v>1.5876590568692657</v>
      </c>
      <c r="F141" s="8"/>
      <c r="G141" s="80" t="str">
        <f>FIXED('consensus values'!$H$215, 1-FLOOR(LOG10('consensus values'!$H$215),1))</f>
        <v>20</v>
      </c>
      <c r="H141" s="8" t="s">
        <v>416</v>
      </c>
      <c r="I141" s="82" t="str">
        <f>FIXED('consensus values'!$P$215, 1-FLOOR(LOG10('consensus values'!$P$215),1))</f>
        <v>5.1</v>
      </c>
      <c r="J141" s="10" t="s">
        <v>436</v>
      </c>
      <c r="K141" s="10">
        <v>17</v>
      </c>
      <c r="L141" s="74" t="str">
        <f>IF('Summed Data'!$E$140="","",'Summed Data'!$E$140)</f>
        <v/>
      </c>
      <c r="M141" s="8"/>
      <c r="N141" s="8"/>
      <c r="O141" s="8"/>
      <c r="P141" s="8"/>
      <c r="Q141" s="8"/>
      <c r="R141" s="8"/>
      <c r="S141" s="8"/>
      <c r="T141" s="8"/>
      <c r="U141" s="8"/>
      <c r="V141" s="8"/>
      <c r="W141" s="8"/>
      <c r="X141" s="8"/>
      <c r="Y141" s="8"/>
    </row>
    <row r="142" spans="1:25" ht="15.75" customHeight="1" x14ac:dyDescent="0.25">
      <c r="A142" s="8"/>
      <c r="B142" s="8" t="str">
        <f>'Summed Data'!$A141</f>
        <v>SM d40:2</v>
      </c>
      <c r="C142" s="63">
        <f>AVERAGE('Summed Data'!$B$141:$D$141)</f>
        <v>14.618182040549266</v>
      </c>
      <c r="D142" s="8" t="s">
        <v>416</v>
      </c>
      <c r="E142" s="71">
        <f>_xlfn.STDEV.S('Summed Data'!$B$141:$D$141)</f>
        <v>1.5149403908963874</v>
      </c>
      <c r="F142" s="8"/>
      <c r="G142" s="80" t="str">
        <f>FIXED('consensus values'!$H$216, 1-FLOOR(LOG10('consensus values'!$H$216),1))</f>
        <v>12</v>
      </c>
      <c r="H142" s="8" t="s">
        <v>416</v>
      </c>
      <c r="I142" s="82" t="str">
        <f>FIXED('consensus values'!$P$216, 1-FLOOR(LOG10('consensus values'!$P$216),1))</f>
        <v>2.8</v>
      </c>
      <c r="J142" s="10" t="s">
        <v>436</v>
      </c>
      <c r="K142" s="10">
        <v>15</v>
      </c>
      <c r="L142" s="74" t="str">
        <f>IF('Summed Data'!$E$141="","",'Summed Data'!$E$141)</f>
        <v/>
      </c>
      <c r="M142" s="8"/>
      <c r="N142" s="8"/>
      <c r="O142" s="8"/>
      <c r="P142" s="8"/>
      <c r="Q142" s="8"/>
      <c r="R142" s="8"/>
      <c r="S142" s="8"/>
      <c r="T142" s="8"/>
      <c r="U142" s="8"/>
      <c r="V142" s="8"/>
      <c r="W142" s="8"/>
      <c r="X142" s="8"/>
      <c r="Y142" s="8"/>
    </row>
    <row r="143" spans="1:25" ht="15.75" customHeight="1" x14ac:dyDescent="0.25">
      <c r="A143" s="8"/>
      <c r="B143" s="8" t="str">
        <f>'Summed Data'!$A142</f>
        <v>SM d40:3</v>
      </c>
      <c r="C143" s="63">
        <f>AVERAGE('Summed Data'!$B$142:$D$142)</f>
        <v>1.2474472776333201</v>
      </c>
      <c r="D143" s="8" t="s">
        <v>416</v>
      </c>
      <c r="E143" s="71">
        <f>_xlfn.STDEV.S('Summed Data'!$B$142:$D$142)</f>
        <v>9.2595762835019094E-2</v>
      </c>
      <c r="F143" s="8"/>
      <c r="G143" s="80" t="str">
        <f>FIXED('consensus values'!$H$217, 1-FLOOR(LOG10('consensus values'!$H$217),1))</f>
        <v>2.2</v>
      </c>
      <c r="H143" s="8" t="s">
        <v>416</v>
      </c>
      <c r="I143" s="82" t="str">
        <f>FIXED('consensus values'!$P$217, 1-FLOOR(LOG10('consensus values'!$P$217),1))</f>
        <v>0.79</v>
      </c>
      <c r="J143" s="10" t="s">
        <v>436</v>
      </c>
      <c r="K143" s="10">
        <v>8</v>
      </c>
      <c r="L143" s="74" t="str">
        <f>IF('Summed Data'!$E$142="","",'Summed Data'!$E$142)</f>
        <v/>
      </c>
      <c r="M143" s="8"/>
      <c r="N143" s="8"/>
      <c r="O143" s="8"/>
      <c r="P143" s="8"/>
      <c r="Q143" s="8"/>
      <c r="R143" s="8"/>
      <c r="S143" s="8"/>
      <c r="T143" s="8"/>
      <c r="U143" s="8"/>
      <c r="V143" s="8"/>
      <c r="W143" s="8"/>
      <c r="X143" s="8"/>
      <c r="Y143" s="8"/>
    </row>
    <row r="144" spans="1:25" ht="15.75" customHeight="1" x14ac:dyDescent="0.25">
      <c r="A144" s="8"/>
      <c r="B144" s="8" t="str">
        <f>'Summed Data'!$A143</f>
        <v>SM d41:1</v>
      </c>
      <c r="C144" s="63">
        <f>AVERAGE('Summed Data'!$B$143:$D$143)</f>
        <v>5.6855070514379591</v>
      </c>
      <c r="D144" s="8" t="s">
        <v>416</v>
      </c>
      <c r="E144" s="71">
        <f>_xlfn.STDEV.S('Summed Data'!$B$143:$D$143)</f>
        <v>0.9565487580848866</v>
      </c>
      <c r="F144" s="8"/>
      <c r="G144" s="80" t="str">
        <f>FIXED('consensus values'!$H$218, 1-FLOOR(LOG10('consensus values'!$H$218),1))</f>
        <v>7.7</v>
      </c>
      <c r="H144" s="8" t="s">
        <v>416</v>
      </c>
      <c r="I144" s="82" t="str">
        <f>FIXED('consensus values'!$P$218, 1-FLOOR(LOG10('consensus values'!$P$218),1))</f>
        <v>2.1</v>
      </c>
      <c r="J144" s="10" t="s">
        <v>436</v>
      </c>
      <c r="K144" s="10">
        <v>14</v>
      </c>
      <c r="L144" s="74" t="str">
        <f>IF('Summed Data'!$E$143="","",'Summed Data'!$E$143)</f>
        <v/>
      </c>
      <c r="M144" s="8"/>
      <c r="N144" s="8"/>
      <c r="O144" s="8"/>
      <c r="P144" s="8"/>
      <c r="Q144" s="8"/>
      <c r="R144" s="8"/>
      <c r="S144" s="8"/>
      <c r="T144" s="8"/>
      <c r="U144" s="8"/>
      <c r="V144" s="8"/>
      <c r="W144" s="8"/>
      <c r="X144" s="8"/>
      <c r="Y144" s="8"/>
    </row>
    <row r="145" spans="1:25" ht="15.75" customHeight="1" x14ac:dyDescent="0.25">
      <c r="A145" s="8"/>
      <c r="B145" s="8" t="str">
        <f>'Summed Data'!$A144</f>
        <v>SM d41:2</v>
      </c>
      <c r="C145" s="63">
        <f>AVERAGE('Summed Data'!$B$144:$D$144)</f>
        <v>5.1683070611766331</v>
      </c>
      <c r="D145" s="8" t="s">
        <v>416</v>
      </c>
      <c r="E145" s="71">
        <f>_xlfn.STDEV.S('Summed Data'!$B$144:$D$144)</f>
        <v>0.54702925911918687</v>
      </c>
      <c r="F145" s="8"/>
      <c r="G145" s="80" t="str">
        <f>FIXED('consensus values'!$H$219, 1-FLOOR(LOG10('consensus values'!$H$219),1))</f>
        <v>5.8</v>
      </c>
      <c r="H145" s="8" t="s">
        <v>416</v>
      </c>
      <c r="I145" s="82" t="str">
        <f>FIXED('consensus values'!$P$219, 1-FLOOR(LOG10('consensus values'!$P$219),1))</f>
        <v>1.4</v>
      </c>
      <c r="J145" s="10" t="s">
        <v>436</v>
      </c>
      <c r="K145" s="10">
        <v>14</v>
      </c>
      <c r="L145" s="74" t="str">
        <f>IF('Summed Data'!$E$144="","",'Summed Data'!$E$144)</f>
        <v/>
      </c>
      <c r="M145" s="8"/>
      <c r="N145" s="8"/>
      <c r="O145" s="8"/>
      <c r="P145" s="8"/>
      <c r="Q145" s="8"/>
      <c r="R145" s="8"/>
      <c r="S145" s="8"/>
      <c r="T145" s="8"/>
      <c r="U145" s="8"/>
      <c r="V145" s="8"/>
      <c r="W145" s="8"/>
      <c r="X145" s="8"/>
      <c r="Y145" s="8"/>
    </row>
    <row r="146" spans="1:25" ht="15.75" customHeight="1" x14ac:dyDescent="0.25">
      <c r="A146" s="8"/>
      <c r="B146" s="8" t="str">
        <f>'Summed Data'!$A145</f>
        <v>SM d41:3</v>
      </c>
      <c r="C146" s="63">
        <f>AVERAGE('Summed Data'!$B$145:$D$145)</f>
        <v>0.43145069086563598</v>
      </c>
      <c r="D146" s="8" t="s">
        <v>416</v>
      </c>
      <c r="E146" s="71">
        <f>_xlfn.STDEV.S('Summed Data'!$B$145:$D$145)</f>
        <v>2.5786830613979187E-2</v>
      </c>
      <c r="F146" s="8"/>
      <c r="G146" s="80" t="str">
        <f>FIXED('consensus values'!$H$220, 1-FLOOR(LOG10('consensus values'!$H$220),1))</f>
        <v>0.77</v>
      </c>
      <c r="H146" s="8" t="s">
        <v>416</v>
      </c>
      <c r="I146" s="82" t="str">
        <f>FIXED('consensus values'!$P$220, 1-FLOOR(LOG10('consensus values'!$P$220),1))</f>
        <v>0.30</v>
      </c>
      <c r="J146" s="10" t="s">
        <v>436</v>
      </c>
      <c r="K146" s="10">
        <v>7</v>
      </c>
      <c r="L146" s="74" t="str">
        <f>IF('Summed Data'!$E$145="","",'Summed Data'!$E$145)</f>
        <v/>
      </c>
      <c r="M146" s="8"/>
      <c r="N146" s="8"/>
      <c r="O146" s="8"/>
      <c r="P146" s="8"/>
      <c r="Q146" s="8"/>
      <c r="R146" s="8"/>
      <c r="S146" s="8"/>
      <c r="T146" s="8"/>
      <c r="U146" s="8"/>
      <c r="V146" s="8"/>
      <c r="W146" s="8"/>
      <c r="X146" s="8"/>
      <c r="Y146" s="8"/>
    </row>
    <row r="147" spans="1:25" ht="15.75" customHeight="1" x14ac:dyDescent="0.25">
      <c r="A147" s="8"/>
      <c r="B147" s="8" t="str">
        <f>'Summed Data'!$A146</f>
        <v>SM d42:1</v>
      </c>
      <c r="C147" s="63">
        <f>AVERAGE('Summed Data'!$B$146:$D$146)</f>
        <v>8.041386035805683</v>
      </c>
      <c r="D147" s="8" t="s">
        <v>416</v>
      </c>
      <c r="E147" s="71">
        <f>_xlfn.STDEV.S('Summed Data'!$B$146:$D$146)</f>
        <v>1.2842162285339502</v>
      </c>
      <c r="F147" s="8"/>
      <c r="G147" s="80" t="str">
        <f>FIXED('consensus values'!$H$221, 1-FLOOR(LOG10('consensus values'!$H$221),1))</f>
        <v>20</v>
      </c>
      <c r="H147" s="8" t="s">
        <v>416</v>
      </c>
      <c r="I147" s="82" t="str">
        <f>FIXED('consensus values'!$P$221, 1-FLOOR(LOG10('consensus values'!$P$221),1))</f>
        <v>5.4</v>
      </c>
      <c r="J147" s="10" t="s">
        <v>436</v>
      </c>
      <c r="K147" s="10">
        <v>21</v>
      </c>
      <c r="L147" s="74" t="str">
        <f>IF('Summed Data'!$E$146="","",'Summed Data'!$E$146)</f>
        <v/>
      </c>
      <c r="M147" s="8"/>
      <c r="N147" s="8"/>
      <c r="O147" s="8"/>
      <c r="P147" s="8"/>
      <c r="Q147" s="8"/>
      <c r="R147" s="8"/>
      <c r="S147" s="8"/>
      <c r="T147" s="8"/>
      <c r="U147" s="8"/>
      <c r="V147" s="8"/>
      <c r="W147" s="8"/>
      <c r="X147" s="8"/>
      <c r="Y147" s="8"/>
    </row>
    <row r="148" spans="1:25" ht="15.75" customHeight="1" x14ac:dyDescent="0.25">
      <c r="A148" s="8"/>
      <c r="B148" s="8" t="str">
        <f>'Summed Data'!$A147</f>
        <v>SM d42:2</v>
      </c>
      <c r="C148" s="63">
        <f>AVERAGE('Summed Data'!$B$147:$D$147)</f>
        <v>33.711863715685666</v>
      </c>
      <c r="D148" s="8" t="s">
        <v>416</v>
      </c>
      <c r="E148" s="71">
        <f>_xlfn.STDEV.S('Summed Data'!$B$147:$D$147)</f>
        <v>2.5007742160070912</v>
      </c>
      <c r="F148" s="8"/>
      <c r="G148" s="80" t="str">
        <f>FIXED('consensus values'!$H$222, 1-FLOOR(LOG10('consensus values'!$H$222),1))</f>
        <v>44</v>
      </c>
      <c r="H148" s="8" t="s">
        <v>416</v>
      </c>
      <c r="I148" s="82" t="str">
        <f>FIXED('consensus values'!$P$222, 1-FLOOR(LOG10('consensus values'!$P$222),1))</f>
        <v>11</v>
      </c>
      <c r="J148" s="10" t="s">
        <v>436</v>
      </c>
      <c r="K148" s="10">
        <v>18</v>
      </c>
      <c r="L148" s="74" t="str">
        <f>IF('Summed Data'!$E$147="","",'Summed Data'!$E$147)</f>
        <v/>
      </c>
      <c r="M148" s="8"/>
      <c r="N148" s="8"/>
      <c r="O148" s="8"/>
      <c r="P148" s="8"/>
      <c r="Q148" s="8"/>
      <c r="R148" s="8"/>
      <c r="S148" s="8"/>
      <c r="T148" s="8"/>
      <c r="U148" s="8"/>
      <c r="V148" s="8"/>
      <c r="W148" s="8"/>
      <c r="X148" s="8"/>
      <c r="Y148" s="8"/>
    </row>
    <row r="149" spans="1:25" ht="15.75" customHeight="1" x14ac:dyDescent="0.25">
      <c r="A149" s="8"/>
      <c r="B149" s="8" t="str">
        <f>'Summed Data'!$A148</f>
        <v>SM d42:3</v>
      </c>
      <c r="C149" s="63">
        <f>AVERAGE('Summed Data'!$B$148:$D$148)</f>
        <v>23.964466263569566</v>
      </c>
      <c r="D149" s="8" t="s">
        <v>416</v>
      </c>
      <c r="E149" s="71">
        <f>_xlfn.STDEV.S('Summed Data'!$B$148:$D$148)</f>
        <v>1.9898253083393822</v>
      </c>
      <c r="F149" s="8"/>
      <c r="G149" s="80" t="str">
        <f>FIXED('consensus values'!$H$223, 1-FLOOR(LOG10('consensus values'!$H$223),1))</f>
        <v>17</v>
      </c>
      <c r="H149" s="8" t="s">
        <v>416</v>
      </c>
      <c r="I149" s="82" t="str">
        <f>FIXED('consensus values'!$P$223, 1-FLOOR(LOG10('consensus values'!$P$223),1))</f>
        <v>4.7</v>
      </c>
      <c r="J149" s="10" t="s">
        <v>436</v>
      </c>
      <c r="K149" s="10">
        <v>12</v>
      </c>
      <c r="L149" s="74" t="str">
        <f>IF('Summed Data'!$E$148="","",'Summed Data'!$E$148)</f>
        <v/>
      </c>
      <c r="M149" s="8"/>
      <c r="N149" s="8"/>
      <c r="O149" s="8"/>
      <c r="P149" s="8"/>
      <c r="Q149" s="8"/>
      <c r="R149" s="8"/>
      <c r="S149" s="8"/>
      <c r="T149" s="8"/>
      <c r="U149" s="8"/>
      <c r="V149" s="8"/>
      <c r="W149" s="8"/>
      <c r="X149" s="8"/>
      <c r="Y149" s="8"/>
    </row>
    <row r="150" spans="1:25" ht="15.75" customHeight="1" x14ac:dyDescent="0.25">
      <c r="A150" s="8"/>
      <c r="B150" s="8" t="str">
        <f>'Summed Data'!$A149</f>
        <v>SM d43:2</v>
      </c>
      <c r="C150" s="63">
        <f>AVERAGE('Summed Data'!$B$149:$D$149)</f>
        <v>1.0701399138676682</v>
      </c>
      <c r="D150" s="8" t="s">
        <v>416</v>
      </c>
      <c r="E150" s="71">
        <f>_xlfn.STDEV.S('Summed Data'!$B$149:$D$149)</f>
        <v>0.20748992411152825</v>
      </c>
      <c r="F150" s="8"/>
      <c r="G150" s="80" t="str">
        <f>FIXED('consensus values'!$H$224, 1-FLOOR(LOG10('consensus values'!$H$224),1))</f>
        <v>1.0</v>
      </c>
      <c r="H150" s="8" t="s">
        <v>416</v>
      </c>
      <c r="I150" s="82" t="str">
        <f>FIXED('consensus values'!$P$224, 1-FLOOR(LOG10('consensus values'!$P$224),1))</f>
        <v>0.29</v>
      </c>
      <c r="J150" s="10" t="s">
        <v>436</v>
      </c>
      <c r="K150" s="10">
        <v>10</v>
      </c>
      <c r="L150" s="74" t="str">
        <f>IF('Summed Data'!$E$149="","",'Summed Data'!$E$149)</f>
        <v/>
      </c>
      <c r="M150" s="8"/>
      <c r="N150" s="8"/>
      <c r="O150" s="8"/>
      <c r="P150" s="8"/>
      <c r="Q150" s="8"/>
      <c r="R150" s="8"/>
      <c r="S150" s="8"/>
      <c r="T150" s="8"/>
      <c r="U150" s="8"/>
      <c r="V150" s="8"/>
      <c r="W150" s="8"/>
      <c r="X150" s="8"/>
      <c r="Y150" s="8"/>
    </row>
    <row r="151" spans="1:25" ht="15.75" customHeight="1" x14ac:dyDescent="0.25">
      <c r="A151" s="8"/>
      <c r="B151" s="8" t="str">
        <f>'Summed Data'!$A150</f>
        <v>SM d44:2</v>
      </c>
      <c r="C151" s="63">
        <f>AVERAGE('Summed Data'!$B$150:$D$150)</f>
        <v>0.17861767470894299</v>
      </c>
      <c r="D151" s="8" t="s">
        <v>416</v>
      </c>
      <c r="E151" s="71">
        <f>_xlfn.STDEV.S('Summed Data'!$B$150:$D$150)</f>
        <v>3.6761349403637886E-2</v>
      </c>
      <c r="F151" s="8"/>
      <c r="G151" s="80" t="str">
        <f>FIXED('consensus values'!$H$225, 1-FLOOR(LOG10('consensus values'!$H$225),1))</f>
        <v>0.40</v>
      </c>
      <c r="H151" s="8" t="s">
        <v>416</v>
      </c>
      <c r="I151" s="82" t="str">
        <f>FIXED('consensus values'!$P$225, 1-FLOOR(LOG10('consensus values'!$P$225),1))</f>
        <v>0.13</v>
      </c>
      <c r="J151" s="10" t="s">
        <v>436</v>
      </c>
      <c r="K151" s="10">
        <v>9</v>
      </c>
      <c r="L151" s="74" t="str">
        <f>IF('Summed Data'!$E$150="","",'Summed Data'!$E$150)</f>
        <v/>
      </c>
      <c r="M151" s="8"/>
      <c r="N151" s="8"/>
      <c r="O151" s="8"/>
      <c r="P151" s="8"/>
      <c r="Q151" s="8"/>
      <c r="R151" s="8"/>
      <c r="S151" s="8"/>
      <c r="T151" s="8"/>
      <c r="U151" s="8"/>
      <c r="V151" s="8"/>
      <c r="W151" s="8"/>
      <c r="X151" s="8"/>
      <c r="Y151" s="8"/>
    </row>
    <row r="152" spans="1:25" ht="15.75" customHeight="1" x14ac:dyDescent="0.25">
      <c r="A152" s="8"/>
      <c r="B152" s="8" t="str">
        <f>'Summed Data'!$A151</f>
        <v>CDCA</v>
      </c>
      <c r="C152" s="63">
        <f>AVERAGE('Summed Data'!$B$151:$D$151)</f>
        <v>0.230137588387613</v>
      </c>
      <c r="D152" s="8" t="s">
        <v>416</v>
      </c>
      <c r="E152" s="71">
        <f>_xlfn.STDEV.S('Summed Data'!$B$151:$D$151)</f>
        <v>6.1291569675145244E-3</v>
      </c>
      <c r="F152" s="8"/>
      <c r="G152" s="80" t="str">
        <f>FIXED('consensus values'!$H$242, 1-FLOOR(LOG10('consensus values'!$H$242),1))</f>
        <v>0.30</v>
      </c>
      <c r="H152" s="8" t="s">
        <v>416</v>
      </c>
      <c r="I152" s="82" t="str">
        <f>FIXED('consensus values'!$P$242, 1-FLOOR(LOG10('consensus values'!$P$242),1))</f>
        <v>0.11</v>
      </c>
      <c r="J152" s="10" t="s">
        <v>436</v>
      </c>
      <c r="K152" s="10">
        <v>7</v>
      </c>
      <c r="L152" s="74" t="str">
        <f>IF('Summed Data'!$E$151="","",'Summed Data'!$E$151)</f>
        <v/>
      </c>
      <c r="M152" s="8"/>
      <c r="N152" s="8"/>
      <c r="O152" s="8"/>
      <c r="P152" s="8"/>
      <c r="Q152" s="8"/>
      <c r="R152" s="8"/>
      <c r="S152" s="8"/>
      <c r="T152" s="8"/>
      <c r="U152" s="8"/>
      <c r="V152" s="8"/>
      <c r="W152" s="8"/>
      <c r="X152" s="8"/>
      <c r="Y152" s="8"/>
    </row>
    <row r="153" spans="1:25" ht="15.75" customHeight="1" x14ac:dyDescent="0.25">
      <c r="A153" s="8"/>
      <c r="B153" s="8" t="str">
        <f>'Summed Data'!$A152</f>
        <v>CA</v>
      </c>
      <c r="C153" s="63">
        <f>AVERAGE('Summed Data'!$B$152:$D$152)</f>
        <v>4.0084061775669366E-2</v>
      </c>
      <c r="D153" s="8" t="s">
        <v>416</v>
      </c>
      <c r="E153" s="71">
        <f>_xlfn.STDEV.S('Summed Data'!$B$152:$D$152)</f>
        <v>5.6226824240497514E-3</v>
      </c>
      <c r="F153" s="8"/>
      <c r="G153" s="80" t="str">
        <f>FIXED('consensus values'!$H$243, 1-FLOOR(LOG10('consensus values'!$H$243),1))</f>
        <v>0.12</v>
      </c>
      <c r="H153" s="8" t="s">
        <v>416</v>
      </c>
      <c r="I153" s="82" t="str">
        <f>FIXED('consensus values'!$P$243, 1-FLOOR(LOG10('consensus values'!$P$243),1))</f>
        <v>0.034</v>
      </c>
      <c r="J153" s="10" t="s">
        <v>436</v>
      </c>
      <c r="K153" s="10">
        <v>9</v>
      </c>
      <c r="L153" s="74" t="str">
        <f>IF('Summed Data'!$E$152="","",'Summed Data'!$E$152)</f>
        <v/>
      </c>
      <c r="M153" s="8"/>
      <c r="N153" s="8"/>
      <c r="O153" s="8"/>
      <c r="P153" s="8"/>
      <c r="Q153" s="8"/>
      <c r="R153" s="8"/>
      <c r="S153" s="8"/>
      <c r="T153" s="8"/>
      <c r="U153" s="8"/>
      <c r="V153" s="8"/>
      <c r="W153" s="8"/>
      <c r="X153" s="8"/>
      <c r="Y153" s="8"/>
    </row>
    <row r="154" spans="1:25" ht="15.75" customHeight="1" x14ac:dyDescent="0.25">
      <c r="A154" s="8"/>
      <c r="B154" s="8" t="str">
        <f>'Summed Data'!$A153</f>
        <v>DCA</v>
      </c>
      <c r="C154" s="63">
        <f>AVERAGE('Summed Data'!$B$153:$D$153)</f>
        <v>0.230137588387613</v>
      </c>
      <c r="D154" s="8" t="s">
        <v>416</v>
      </c>
      <c r="E154" s="71">
        <f>_xlfn.STDEV.S('Summed Data'!$B$153:$D$153)</f>
        <v>6.1291569675145244E-3</v>
      </c>
      <c r="F154" s="8"/>
      <c r="G154" s="80" t="str">
        <f>FIXED('consensus values'!$H$244, 1-FLOOR(LOG10('consensus values'!$H$244),1))</f>
        <v>0.35</v>
      </c>
      <c r="H154" s="8" t="s">
        <v>416</v>
      </c>
      <c r="I154" s="82" t="str">
        <f>FIXED('consensus values'!$P$244, 1-FLOOR(LOG10('consensus values'!$P$244),1))</f>
        <v>0.083</v>
      </c>
      <c r="J154" s="10" t="s">
        <v>436</v>
      </c>
      <c r="K154" s="10">
        <v>9</v>
      </c>
      <c r="L154" s="74" t="str">
        <f>IF('Summed Data'!$E$153="","",'Summed Data'!$E$153)</f>
        <v/>
      </c>
      <c r="M154" s="8"/>
      <c r="N154" s="8"/>
      <c r="O154" s="8"/>
      <c r="P154" s="8"/>
      <c r="Q154" s="8"/>
      <c r="R154" s="8"/>
      <c r="S154" s="8"/>
      <c r="T154" s="8"/>
      <c r="U154" s="8"/>
      <c r="V154" s="8"/>
      <c r="W154" s="8"/>
      <c r="X154" s="8"/>
      <c r="Y154" s="8"/>
    </row>
    <row r="155" spans="1:25" ht="15.75" customHeight="1" x14ac:dyDescent="0.25">
      <c r="A155" s="8"/>
      <c r="B155" s="8" t="str">
        <f>'Summed Data'!$A154</f>
        <v>GCDCA</v>
      </c>
      <c r="C155" s="63">
        <f>AVERAGE('Summed Data'!$B$154:$D$154)</f>
        <v>0.4190922499394083</v>
      </c>
      <c r="D155" s="8" t="s">
        <v>416</v>
      </c>
      <c r="E155" s="71">
        <f>_xlfn.STDEV.S('Summed Data'!$B$154:$D$154)</f>
        <v>1.3022735679389448E-2</v>
      </c>
      <c r="F155" s="8"/>
      <c r="G155" s="80" t="str">
        <f>FIXED('consensus values'!$H$245, 1-FLOOR(LOG10('consensus values'!$H$245),1))</f>
        <v>1.1</v>
      </c>
      <c r="H155" s="8" t="s">
        <v>416</v>
      </c>
      <c r="I155" s="82" t="str">
        <f>FIXED('consensus values'!$P$245, 1-FLOOR(LOG10('consensus values'!$P$245),1))</f>
        <v>0.18</v>
      </c>
      <c r="J155" s="10" t="s">
        <v>436</v>
      </c>
      <c r="K155" s="10">
        <v>8</v>
      </c>
      <c r="L155" s="74" t="str">
        <f>IF('Summed Data'!$E$154="","",'Summed Data'!$E$154)</f>
        <v/>
      </c>
      <c r="M155" s="8"/>
      <c r="N155" s="8"/>
      <c r="O155" s="8"/>
      <c r="P155" s="8"/>
      <c r="Q155" s="8"/>
      <c r="R155" s="8"/>
      <c r="S155" s="8"/>
      <c r="T155" s="8"/>
      <c r="U155" s="8"/>
      <c r="V155" s="8"/>
      <c r="W155" s="8"/>
      <c r="X155" s="8"/>
      <c r="Y155" s="8"/>
    </row>
    <row r="156" spans="1:25" ht="15.75" customHeight="1" x14ac:dyDescent="0.25">
      <c r="A156" s="8"/>
      <c r="B156" s="8" t="str">
        <f>'Summed Data'!$A155</f>
        <v>GDCA</v>
      </c>
      <c r="C156" s="63">
        <f>AVERAGE('Summed Data'!$B$155:$D$155)</f>
        <v>0.4190922499394083</v>
      </c>
      <c r="D156" s="8" t="s">
        <v>416</v>
      </c>
      <c r="E156" s="71">
        <f>_xlfn.STDEV.S('Summed Data'!$B$155:$D$155)</f>
        <v>1.3022735679389448E-2</v>
      </c>
      <c r="F156" s="8"/>
      <c r="G156" s="80" t="str">
        <f>FIXED('consensus values'!$H$246, 1-FLOOR(LOG10('consensus values'!$H$246),1))</f>
        <v>0.43</v>
      </c>
      <c r="H156" s="8" t="s">
        <v>416</v>
      </c>
      <c r="I156" s="82" t="str">
        <f>FIXED('consensus values'!$P$246, 1-FLOOR(LOG10('consensus values'!$P$246),1))</f>
        <v>0.069</v>
      </c>
      <c r="J156" s="10" t="s">
        <v>436</v>
      </c>
      <c r="K156" s="10">
        <v>7</v>
      </c>
      <c r="L156" s="74" t="str">
        <f>IF('Summed Data'!$E$155="","",'Summed Data'!$E$155)</f>
        <v/>
      </c>
      <c r="M156" s="8"/>
      <c r="N156" s="8"/>
      <c r="O156" s="8"/>
      <c r="P156" s="8"/>
      <c r="Q156" s="8"/>
      <c r="R156" s="8"/>
      <c r="S156" s="8"/>
      <c r="T156" s="8"/>
      <c r="U156" s="8"/>
      <c r="V156" s="8"/>
      <c r="W156" s="8"/>
      <c r="X156" s="8"/>
      <c r="Y156" s="8"/>
    </row>
    <row r="157" spans="1:25" ht="15.75" customHeight="1" x14ac:dyDescent="0.25">
      <c r="A157" s="8"/>
      <c r="B157" s="8" t="str">
        <f>'Summed Data'!$A156</f>
        <v>GLCA</v>
      </c>
      <c r="C157" s="63">
        <f>AVERAGE('Summed Data'!$B$156:$D$156)</f>
        <v>8.3399054883547472E-3</v>
      </c>
      <c r="D157" s="8" t="s">
        <v>416</v>
      </c>
      <c r="E157" s="71">
        <f>_xlfn.STDEV.S('Summed Data'!$B$156:$D$156)</f>
        <v>2.4960993618730574E-3</v>
      </c>
      <c r="F157" s="8"/>
      <c r="G157" s="80" t="str">
        <f>FIXED('consensus values'!$H$247, 1-FLOOR(LOG10('consensus values'!$H$247),1))</f>
        <v>0.025</v>
      </c>
      <c r="H157" s="8" t="s">
        <v>416</v>
      </c>
      <c r="I157" s="82" t="str">
        <f>FIXED('consensus values'!$P$247, 1-FLOOR(LOG10('consensus values'!$P$247),1))</f>
        <v>0.0018</v>
      </c>
      <c r="J157" s="10" t="s">
        <v>436</v>
      </c>
      <c r="K157" s="10">
        <v>6</v>
      </c>
      <c r="L157" s="74" t="str">
        <f>IF('Summed Data'!$E$156="","",'Summed Data'!$E$156)</f>
        <v/>
      </c>
      <c r="M157" s="8"/>
      <c r="N157" s="8"/>
      <c r="O157" s="8"/>
      <c r="P157" s="8"/>
      <c r="Q157" s="8"/>
      <c r="R157" s="8"/>
      <c r="S157" s="8"/>
      <c r="T157" s="8"/>
      <c r="U157" s="8"/>
      <c r="V157" s="8"/>
      <c r="W157" s="8"/>
      <c r="X157" s="8"/>
      <c r="Y157" s="8"/>
    </row>
    <row r="158" spans="1:25" ht="15.75" customHeight="1" x14ac:dyDescent="0.25">
      <c r="A158" s="8"/>
      <c r="B158" s="8" t="str">
        <f>'Summed Data'!$A157</f>
        <v>GUDCA</v>
      </c>
      <c r="C158" s="63">
        <f>AVERAGE('Summed Data'!$B$157:$D$157)</f>
        <v>0.4190922499394083</v>
      </c>
      <c r="D158" s="8" t="s">
        <v>416</v>
      </c>
      <c r="E158" s="71">
        <f>_xlfn.STDEV.S('Summed Data'!$B$157:$D$157)</f>
        <v>1.3022735679389448E-2</v>
      </c>
      <c r="F158" s="8"/>
      <c r="G158" s="80" t="str">
        <f>FIXED('consensus values'!$H$248, 1-FLOOR(LOG10('consensus values'!$H$248),1))</f>
        <v>0.15</v>
      </c>
      <c r="H158" s="8" t="s">
        <v>416</v>
      </c>
      <c r="I158" s="82" t="str">
        <f>FIXED('consensus values'!$P$248, 1-FLOOR(LOG10('consensus values'!$P$248),1))</f>
        <v>0.024</v>
      </c>
      <c r="J158" s="10" t="s">
        <v>436</v>
      </c>
      <c r="K158" s="10">
        <v>6</v>
      </c>
      <c r="L158" s="74" t="str">
        <f>IF('Summed Data'!$E$157="","",'Summed Data'!$E$157)</f>
        <v/>
      </c>
      <c r="M158" s="8"/>
      <c r="N158" s="8"/>
      <c r="O158" s="8"/>
      <c r="P158" s="8"/>
      <c r="Q158" s="8"/>
      <c r="R158" s="8"/>
      <c r="S158" s="8"/>
      <c r="T158" s="8"/>
      <c r="U158" s="8"/>
      <c r="V158" s="8"/>
      <c r="W158" s="8"/>
      <c r="X158" s="8"/>
      <c r="Y158" s="8"/>
    </row>
    <row r="159" spans="1:25" ht="15.75" customHeight="1" thickBot="1" x14ac:dyDescent="0.3">
      <c r="A159" s="8"/>
      <c r="B159" s="75" t="str">
        <f>'Summed Data'!$A158</f>
        <v>UDCA</v>
      </c>
      <c r="C159" s="76">
        <f>AVERAGE('Summed Data'!$B$158:$D$158)</f>
        <v>0.230137588387613</v>
      </c>
      <c r="D159" s="75" t="s">
        <v>416</v>
      </c>
      <c r="E159" s="77">
        <f>_xlfn.STDEV.S('Summed Data'!$B$158:$D$158)</f>
        <v>6.1291569675145244E-3</v>
      </c>
      <c r="F159" s="75"/>
      <c r="G159" s="81" t="str">
        <f>FIXED('consensus values'!$H$255, 1-FLOOR(LOG10('consensus values'!$H$255),1))</f>
        <v>0.11</v>
      </c>
      <c r="H159" s="75" t="s">
        <v>416</v>
      </c>
      <c r="I159" s="83" t="str">
        <f>FIXED('consensus values'!$P$255, 1-FLOOR(LOG10('consensus values'!$P$255),1))</f>
        <v>0.024</v>
      </c>
      <c r="J159" s="78" t="s">
        <v>436</v>
      </c>
      <c r="K159" s="78">
        <v>8</v>
      </c>
      <c r="L159" s="79" t="str">
        <f>IF('Summed Data'!$E$158="","",'Summed Data'!$E$158)</f>
        <v/>
      </c>
      <c r="M159" s="8"/>
      <c r="N159" s="8"/>
      <c r="O159" s="8"/>
      <c r="P159" s="8"/>
      <c r="Q159" s="8"/>
      <c r="R159" s="8"/>
      <c r="S159" s="8"/>
      <c r="T159" s="8"/>
      <c r="U159" s="8"/>
      <c r="V159" s="8"/>
      <c r="W159" s="8"/>
      <c r="X159" s="8"/>
      <c r="Y159" s="8"/>
    </row>
    <row r="160" spans="1:25" ht="15.75" customHeight="1" thickTop="1" x14ac:dyDescent="0.25">
      <c r="A160" s="8"/>
      <c r="B160" s="8"/>
      <c r="C160" s="63"/>
      <c r="D160" s="8"/>
      <c r="E160" s="71"/>
      <c r="F160" s="8"/>
      <c r="G160" s="63"/>
      <c r="H160" s="8"/>
      <c r="I160" s="71"/>
      <c r="J160" s="10"/>
      <c r="K160" s="10"/>
      <c r="L160" s="74" t="s">
        <v>437</v>
      </c>
      <c r="M160" s="8"/>
      <c r="N160" s="8"/>
      <c r="O160" s="8"/>
      <c r="P160" s="8"/>
      <c r="Q160" s="8"/>
      <c r="R160" s="8"/>
      <c r="S160" s="8"/>
      <c r="T160" s="8"/>
      <c r="U160" s="8"/>
      <c r="V160" s="8"/>
      <c r="W160" s="8"/>
      <c r="X160" s="8"/>
      <c r="Y160" s="8"/>
    </row>
    <row r="161" spans="1:25" ht="15.75" customHeight="1" x14ac:dyDescent="0.25">
      <c r="A161" s="8"/>
      <c r="B161" s="8"/>
      <c r="C161" s="63"/>
      <c r="D161" s="8"/>
      <c r="E161" s="71"/>
      <c r="F161" s="8"/>
      <c r="G161" s="63"/>
      <c r="H161" s="8"/>
      <c r="I161" s="71"/>
      <c r="J161" s="10"/>
      <c r="K161" s="10"/>
      <c r="L161" s="84" t="s">
        <v>438</v>
      </c>
      <c r="M161" s="8"/>
      <c r="N161" s="8"/>
      <c r="O161" s="8"/>
      <c r="P161" s="8"/>
      <c r="Q161" s="8"/>
      <c r="R161" s="8"/>
      <c r="S161" s="8"/>
      <c r="T161" s="8"/>
      <c r="U161" s="8"/>
      <c r="V161" s="8"/>
      <c r="W161" s="8"/>
      <c r="X161" s="8"/>
      <c r="Y161" s="8"/>
    </row>
    <row r="162" spans="1:25" ht="15.75" customHeight="1" x14ac:dyDescent="0.25">
      <c r="A162" s="8"/>
      <c r="B162" s="8"/>
      <c r="C162" s="63"/>
      <c r="D162" s="8"/>
      <c r="E162" s="71"/>
      <c r="F162" s="8"/>
      <c r="G162" s="63"/>
      <c r="H162" s="8"/>
      <c r="I162" s="71"/>
      <c r="J162" s="10"/>
      <c r="K162" s="10"/>
      <c r="L162" s="71"/>
      <c r="M162" s="8"/>
      <c r="N162" s="8"/>
      <c r="O162" s="8"/>
      <c r="P162" s="8"/>
      <c r="Q162" s="8"/>
      <c r="R162" s="8"/>
      <c r="S162" s="8"/>
      <c r="T162" s="8"/>
      <c r="U162" s="8"/>
      <c r="V162" s="8"/>
      <c r="W162" s="8"/>
      <c r="X162" s="8"/>
      <c r="Y162" s="8"/>
    </row>
    <row r="163" spans="1:25" ht="15.75" customHeight="1" x14ac:dyDescent="0.25">
      <c r="A163" s="8"/>
      <c r="B163" s="8"/>
      <c r="C163" s="63"/>
      <c r="D163" s="8"/>
      <c r="E163" s="71"/>
      <c r="F163" s="8"/>
      <c r="G163" s="63"/>
      <c r="H163" s="8"/>
      <c r="I163" s="71"/>
      <c r="J163" s="10"/>
      <c r="K163" s="10"/>
      <c r="L163" s="71"/>
      <c r="M163" s="8"/>
      <c r="N163" s="8"/>
      <c r="O163" s="8"/>
      <c r="P163" s="8"/>
      <c r="Q163" s="8"/>
      <c r="R163" s="8"/>
      <c r="S163" s="8"/>
      <c r="T163" s="8"/>
      <c r="U163" s="8"/>
      <c r="V163" s="8"/>
      <c r="W163" s="8"/>
      <c r="X163" s="8"/>
      <c r="Y163" s="8"/>
    </row>
    <row r="164" spans="1:25" ht="15.75" customHeight="1" x14ac:dyDescent="0.25">
      <c r="A164" s="8"/>
      <c r="B164" s="8"/>
      <c r="C164" s="63"/>
      <c r="D164" s="8"/>
      <c r="E164" s="71"/>
      <c r="F164" s="8"/>
      <c r="G164" s="63"/>
      <c r="H164" s="8"/>
      <c r="I164" s="71"/>
      <c r="J164" s="10"/>
      <c r="K164" s="10"/>
      <c r="L164" s="71"/>
      <c r="M164" s="8"/>
      <c r="N164" s="8"/>
      <c r="O164" s="8"/>
      <c r="P164" s="8"/>
      <c r="Q164" s="8"/>
      <c r="R164" s="8"/>
      <c r="S164" s="8"/>
      <c r="T164" s="8"/>
      <c r="U164" s="8"/>
      <c r="V164" s="8"/>
      <c r="W164" s="8"/>
      <c r="X164" s="8"/>
      <c r="Y164" s="8"/>
    </row>
    <row r="165" spans="1:25" ht="15.75" customHeight="1" x14ac:dyDescent="0.25">
      <c r="A165" s="8"/>
      <c r="B165" s="8"/>
      <c r="C165" s="63"/>
      <c r="D165" s="8"/>
      <c r="E165" s="71"/>
      <c r="F165" s="8"/>
      <c r="G165" s="63"/>
      <c r="H165" s="8"/>
      <c r="I165" s="71"/>
      <c r="J165" s="10"/>
      <c r="K165" s="10"/>
      <c r="L165" s="71"/>
      <c r="M165" s="8"/>
      <c r="N165" s="8"/>
      <c r="O165" s="8"/>
      <c r="P165" s="8"/>
      <c r="Q165" s="8"/>
      <c r="R165" s="8"/>
      <c r="S165" s="8"/>
      <c r="T165" s="8"/>
      <c r="U165" s="8"/>
      <c r="V165" s="8"/>
      <c r="W165" s="8"/>
      <c r="X165" s="8"/>
      <c r="Y165" s="8"/>
    </row>
    <row r="166" spans="1:25" ht="15.75" customHeight="1" x14ac:dyDescent="0.25">
      <c r="A166" s="8"/>
      <c r="B166" s="8"/>
      <c r="C166" s="63"/>
      <c r="D166" s="8"/>
      <c r="E166" s="71"/>
      <c r="F166" s="8"/>
      <c r="G166" s="63"/>
      <c r="H166" s="8"/>
      <c r="I166" s="71"/>
      <c r="J166" s="10"/>
      <c r="K166" s="10"/>
      <c r="L166" s="71"/>
      <c r="M166" s="8"/>
      <c r="N166" s="8"/>
      <c r="O166" s="8"/>
      <c r="P166" s="8"/>
      <c r="Q166" s="8"/>
      <c r="R166" s="8"/>
      <c r="S166" s="8"/>
      <c r="T166" s="8"/>
      <c r="U166" s="8"/>
      <c r="V166" s="8"/>
      <c r="W166" s="8"/>
      <c r="X166" s="8"/>
      <c r="Y166" s="8"/>
    </row>
    <row r="167" spans="1:25" ht="15.75" customHeight="1" x14ac:dyDescent="0.25">
      <c r="A167" s="8"/>
      <c r="B167" s="8"/>
      <c r="C167" s="63"/>
      <c r="D167" s="8"/>
      <c r="E167" s="71"/>
      <c r="F167" s="8"/>
      <c r="G167" s="63"/>
      <c r="H167" s="8"/>
      <c r="I167" s="71"/>
      <c r="J167" s="10"/>
      <c r="K167" s="10"/>
      <c r="L167" s="71"/>
      <c r="M167" s="8"/>
      <c r="N167" s="8"/>
      <c r="O167" s="8"/>
      <c r="P167" s="8"/>
      <c r="Q167" s="8"/>
      <c r="R167" s="8"/>
      <c r="S167" s="8"/>
      <c r="T167" s="8"/>
      <c r="U167" s="8"/>
      <c r="V167" s="8"/>
      <c r="W167" s="8"/>
      <c r="X167" s="8"/>
      <c r="Y167" s="8"/>
    </row>
    <row r="168" spans="1:25" ht="15.75" customHeight="1" x14ac:dyDescent="0.25">
      <c r="A168" s="8"/>
      <c r="B168" s="8"/>
      <c r="C168" s="63"/>
      <c r="D168" s="8"/>
      <c r="E168" s="71"/>
      <c r="F168" s="8"/>
      <c r="G168" s="63"/>
      <c r="H168" s="8"/>
      <c r="I168" s="71"/>
      <c r="J168" s="10"/>
      <c r="K168" s="10"/>
      <c r="L168" s="71"/>
      <c r="M168" s="8"/>
      <c r="N168" s="8"/>
      <c r="O168" s="8"/>
      <c r="P168" s="8"/>
      <c r="Q168" s="8"/>
      <c r="R168" s="8"/>
      <c r="S168" s="8"/>
      <c r="T168" s="8"/>
      <c r="U168" s="8"/>
      <c r="V168" s="8"/>
      <c r="W168" s="8"/>
      <c r="X168" s="8"/>
      <c r="Y168" s="8"/>
    </row>
    <row r="169" spans="1:25" ht="15.75" customHeight="1" x14ac:dyDescent="0.25">
      <c r="A169" s="8"/>
      <c r="B169" s="8"/>
      <c r="C169" s="63"/>
      <c r="D169" s="8"/>
      <c r="E169" s="71"/>
      <c r="F169" s="8"/>
      <c r="G169" s="63"/>
      <c r="H169" s="8"/>
      <c r="I169" s="71"/>
      <c r="J169" s="10"/>
      <c r="K169" s="10"/>
      <c r="L169" s="71"/>
      <c r="M169" s="8"/>
      <c r="N169" s="8"/>
      <c r="O169" s="8"/>
      <c r="P169" s="8"/>
      <c r="Q169" s="8"/>
      <c r="R169" s="8"/>
      <c r="S169" s="8"/>
      <c r="T169" s="8"/>
      <c r="U169" s="8"/>
      <c r="V169" s="8"/>
      <c r="W169" s="8"/>
      <c r="X169" s="8"/>
      <c r="Y169" s="8"/>
    </row>
    <row r="170" spans="1:25" ht="15.75" customHeight="1" x14ac:dyDescent="0.25">
      <c r="A170" s="8"/>
      <c r="B170" s="8"/>
      <c r="C170" s="63"/>
      <c r="D170" s="8"/>
      <c r="E170" s="71"/>
      <c r="F170" s="8"/>
      <c r="G170" s="63"/>
      <c r="H170" s="8"/>
      <c r="I170" s="71"/>
      <c r="J170" s="10"/>
      <c r="K170" s="10"/>
      <c r="L170" s="71"/>
      <c r="M170" s="8"/>
      <c r="N170" s="8"/>
      <c r="O170" s="8"/>
      <c r="P170" s="8"/>
      <c r="Q170" s="8"/>
      <c r="R170" s="8"/>
      <c r="S170" s="8"/>
      <c r="T170" s="8"/>
      <c r="U170" s="8"/>
      <c r="V170" s="8"/>
      <c r="W170" s="8"/>
      <c r="X170" s="8"/>
      <c r="Y170" s="8"/>
    </row>
    <row r="171" spans="1:25" ht="15.75" customHeight="1" x14ac:dyDescent="0.25">
      <c r="A171" s="8"/>
      <c r="B171" s="8"/>
      <c r="C171" s="63"/>
      <c r="D171" s="8"/>
      <c r="E171" s="71"/>
      <c r="F171" s="8"/>
      <c r="G171" s="63"/>
      <c r="H171" s="8"/>
      <c r="I171" s="71"/>
      <c r="J171" s="10"/>
      <c r="K171" s="10"/>
      <c r="L171" s="71"/>
      <c r="M171" s="8"/>
      <c r="N171" s="8"/>
      <c r="O171" s="8"/>
      <c r="P171" s="8"/>
      <c r="Q171" s="8"/>
      <c r="R171" s="8"/>
      <c r="S171" s="8"/>
      <c r="T171" s="8"/>
      <c r="U171" s="8"/>
      <c r="V171" s="8"/>
      <c r="W171" s="8"/>
      <c r="X171" s="8"/>
      <c r="Y171" s="8"/>
    </row>
    <row r="172" spans="1:25" ht="15.75" customHeight="1" x14ac:dyDescent="0.25">
      <c r="A172" s="8"/>
      <c r="B172" s="8"/>
      <c r="C172" s="63"/>
      <c r="D172" s="8"/>
      <c r="E172" s="71"/>
      <c r="F172" s="8"/>
      <c r="G172" s="63"/>
      <c r="H172" s="8"/>
      <c r="I172" s="71"/>
      <c r="J172" s="10"/>
      <c r="K172" s="10"/>
      <c r="L172" s="71"/>
      <c r="M172" s="8"/>
      <c r="N172" s="8"/>
      <c r="O172" s="8"/>
      <c r="P172" s="8"/>
      <c r="Q172" s="8"/>
      <c r="R172" s="8"/>
      <c r="S172" s="8"/>
      <c r="T172" s="8"/>
      <c r="U172" s="8"/>
      <c r="V172" s="8"/>
      <c r="W172" s="8"/>
      <c r="X172" s="8"/>
      <c r="Y172" s="8"/>
    </row>
    <row r="173" spans="1:25" ht="15.75" customHeight="1" x14ac:dyDescent="0.25">
      <c r="A173" s="8"/>
      <c r="B173" s="8"/>
      <c r="C173" s="63"/>
      <c r="D173" s="8"/>
      <c r="E173" s="71"/>
      <c r="F173" s="8"/>
      <c r="G173" s="63"/>
      <c r="H173" s="8"/>
      <c r="I173" s="71"/>
      <c r="J173" s="10"/>
      <c r="K173" s="10"/>
      <c r="L173" s="71"/>
      <c r="M173" s="8"/>
      <c r="N173" s="8"/>
      <c r="O173" s="8"/>
      <c r="P173" s="8"/>
      <c r="Q173" s="8"/>
      <c r="R173" s="8"/>
      <c r="S173" s="8"/>
      <c r="T173" s="8"/>
      <c r="U173" s="8"/>
      <c r="V173" s="8"/>
      <c r="W173" s="8"/>
      <c r="X173" s="8"/>
      <c r="Y173" s="8"/>
    </row>
    <row r="174" spans="1:25" ht="15.75" customHeight="1" x14ac:dyDescent="0.25">
      <c r="A174" s="8"/>
      <c r="B174" s="8"/>
      <c r="C174" s="63"/>
      <c r="D174" s="8"/>
      <c r="E174" s="71"/>
      <c r="F174" s="8"/>
      <c r="G174" s="63"/>
      <c r="H174" s="8"/>
      <c r="I174" s="71"/>
      <c r="J174" s="10"/>
      <c r="K174" s="10"/>
      <c r="L174" s="71"/>
      <c r="M174" s="8"/>
      <c r="N174" s="8"/>
      <c r="O174" s="8"/>
      <c r="P174" s="8"/>
      <c r="Q174" s="8"/>
      <c r="R174" s="8"/>
      <c r="S174" s="8"/>
      <c r="T174" s="8"/>
      <c r="U174" s="8"/>
      <c r="V174" s="8"/>
      <c r="W174" s="8"/>
      <c r="X174" s="8"/>
      <c r="Y174" s="8"/>
    </row>
    <row r="175" spans="1:25" ht="15.75" customHeight="1" x14ac:dyDescent="0.25">
      <c r="A175" s="8"/>
      <c r="B175" s="8"/>
      <c r="C175" s="63"/>
      <c r="D175" s="8"/>
      <c r="E175" s="71"/>
      <c r="F175" s="8"/>
      <c r="G175" s="63"/>
      <c r="H175" s="8"/>
      <c r="I175" s="71"/>
      <c r="J175" s="10"/>
      <c r="K175" s="10"/>
      <c r="L175" s="71"/>
      <c r="M175" s="8"/>
      <c r="N175" s="8"/>
      <c r="O175" s="8"/>
      <c r="P175" s="8"/>
      <c r="Q175" s="8"/>
      <c r="R175" s="8"/>
      <c r="S175" s="8"/>
      <c r="T175" s="8"/>
      <c r="U175" s="8"/>
      <c r="V175" s="8"/>
      <c r="W175" s="8"/>
      <c r="X175" s="8"/>
      <c r="Y175" s="8"/>
    </row>
    <row r="176" spans="1:25" ht="15.75" customHeight="1" x14ac:dyDescent="0.25">
      <c r="A176" s="8"/>
      <c r="B176" s="8"/>
      <c r="C176" s="63"/>
      <c r="D176" s="8"/>
      <c r="E176" s="71"/>
      <c r="F176" s="8"/>
      <c r="G176" s="63"/>
      <c r="H176" s="8"/>
      <c r="I176" s="71"/>
      <c r="J176" s="10"/>
      <c r="K176" s="10"/>
      <c r="L176" s="71"/>
      <c r="M176" s="8"/>
      <c r="N176" s="8"/>
      <c r="O176" s="8"/>
      <c r="P176" s="8"/>
      <c r="Q176" s="8"/>
      <c r="R176" s="8"/>
      <c r="S176" s="8"/>
      <c r="T176" s="8"/>
      <c r="U176" s="8"/>
      <c r="V176" s="8"/>
      <c r="W176" s="8"/>
      <c r="X176" s="8"/>
      <c r="Y176" s="8"/>
    </row>
    <row r="177" spans="1:25" ht="15.75" customHeight="1" x14ac:dyDescent="0.25">
      <c r="A177" s="8"/>
      <c r="B177" s="8"/>
      <c r="C177" s="63"/>
      <c r="D177" s="8"/>
      <c r="E177" s="71"/>
      <c r="F177" s="8"/>
      <c r="G177" s="63"/>
      <c r="H177" s="8"/>
      <c r="I177" s="71"/>
      <c r="J177" s="10"/>
      <c r="K177" s="10"/>
      <c r="L177" s="71"/>
      <c r="M177" s="8"/>
      <c r="N177" s="8"/>
      <c r="O177" s="8"/>
      <c r="P177" s="8"/>
      <c r="Q177" s="8"/>
      <c r="R177" s="8"/>
      <c r="S177" s="8"/>
      <c r="T177" s="8"/>
      <c r="U177" s="8"/>
      <c r="V177" s="8"/>
      <c r="W177" s="8"/>
      <c r="X177" s="8"/>
      <c r="Y177" s="8"/>
    </row>
    <row r="178" spans="1:25" ht="15.75" customHeight="1" x14ac:dyDescent="0.25">
      <c r="A178" s="8"/>
      <c r="B178" s="8"/>
      <c r="C178" s="63"/>
      <c r="D178" s="8"/>
      <c r="E178" s="71"/>
      <c r="F178" s="8"/>
      <c r="G178" s="63"/>
      <c r="H178" s="8"/>
      <c r="I178" s="71"/>
      <c r="J178" s="10"/>
      <c r="K178" s="10"/>
      <c r="L178" s="71"/>
      <c r="M178" s="8"/>
      <c r="N178" s="8"/>
      <c r="O178" s="8"/>
      <c r="P178" s="8"/>
      <c r="Q178" s="8"/>
      <c r="R178" s="8"/>
      <c r="S178" s="8"/>
      <c r="T178" s="8"/>
      <c r="U178" s="8"/>
      <c r="V178" s="8"/>
      <c r="W178" s="8"/>
      <c r="X178" s="8"/>
      <c r="Y178" s="8"/>
    </row>
    <row r="179" spans="1:25" ht="15.75" customHeight="1" x14ac:dyDescent="0.25">
      <c r="A179" s="8"/>
      <c r="B179" s="8"/>
      <c r="C179" s="63"/>
      <c r="D179" s="8"/>
      <c r="E179" s="71"/>
      <c r="F179" s="8"/>
      <c r="G179" s="63"/>
      <c r="H179" s="8"/>
      <c r="I179" s="71"/>
      <c r="J179" s="10"/>
      <c r="K179" s="10"/>
      <c r="L179" s="71"/>
      <c r="M179" s="8"/>
      <c r="N179" s="8"/>
      <c r="O179" s="8"/>
      <c r="P179" s="8"/>
      <c r="Q179" s="8"/>
      <c r="R179" s="8"/>
      <c r="S179" s="8"/>
      <c r="T179" s="8"/>
      <c r="U179" s="8"/>
      <c r="V179" s="8"/>
      <c r="W179" s="8"/>
      <c r="X179" s="8"/>
      <c r="Y179" s="8"/>
    </row>
    <row r="180" spans="1:25" ht="15.75" customHeight="1" x14ac:dyDescent="0.25">
      <c r="A180" s="8"/>
      <c r="B180" s="8"/>
      <c r="C180" s="63"/>
      <c r="D180" s="8"/>
      <c r="E180" s="71"/>
      <c r="F180" s="8"/>
      <c r="G180" s="63"/>
      <c r="H180" s="8"/>
      <c r="I180" s="71"/>
      <c r="J180" s="10"/>
      <c r="K180" s="10"/>
      <c r="L180" s="71"/>
      <c r="M180" s="8"/>
      <c r="N180" s="8"/>
      <c r="O180" s="8"/>
      <c r="P180" s="8"/>
      <c r="Q180" s="8"/>
      <c r="R180" s="8"/>
      <c r="S180" s="8"/>
      <c r="T180" s="8"/>
      <c r="U180" s="8"/>
      <c r="V180" s="8"/>
      <c r="W180" s="8"/>
      <c r="X180" s="8"/>
      <c r="Y180" s="8"/>
    </row>
    <row r="181" spans="1:25" ht="15.75" customHeight="1" x14ac:dyDescent="0.25">
      <c r="A181" s="8"/>
      <c r="B181" s="8"/>
      <c r="C181" s="63"/>
      <c r="D181" s="8"/>
      <c r="E181" s="71"/>
      <c r="F181" s="8"/>
      <c r="G181" s="63"/>
      <c r="H181" s="8"/>
      <c r="I181" s="71"/>
      <c r="J181" s="10"/>
      <c r="K181" s="10"/>
      <c r="L181" s="71"/>
      <c r="M181" s="8"/>
      <c r="N181" s="8"/>
      <c r="O181" s="8"/>
      <c r="P181" s="8"/>
      <c r="Q181" s="8"/>
      <c r="R181" s="8"/>
      <c r="S181" s="8"/>
      <c r="T181" s="8"/>
      <c r="U181" s="8"/>
      <c r="V181" s="8"/>
      <c r="W181" s="8"/>
      <c r="X181" s="8"/>
      <c r="Y181" s="8"/>
    </row>
    <row r="182" spans="1:25" ht="15.75" customHeight="1" x14ac:dyDescent="0.25">
      <c r="A182" s="8"/>
      <c r="B182" s="8"/>
      <c r="C182" s="63"/>
      <c r="D182" s="8"/>
      <c r="E182" s="71"/>
      <c r="F182" s="8"/>
      <c r="G182" s="63"/>
      <c r="H182" s="8"/>
      <c r="I182" s="71"/>
      <c r="J182" s="10"/>
      <c r="K182" s="10"/>
      <c r="L182" s="71"/>
      <c r="M182" s="8"/>
      <c r="N182" s="8"/>
      <c r="O182" s="8"/>
      <c r="P182" s="8"/>
      <c r="Q182" s="8"/>
      <c r="R182" s="8"/>
      <c r="S182" s="8"/>
      <c r="T182" s="8"/>
      <c r="U182" s="8"/>
      <c r="V182" s="8"/>
      <c r="W182" s="8"/>
      <c r="X182" s="8"/>
      <c r="Y182" s="8"/>
    </row>
    <row r="183" spans="1:25" ht="15.75" customHeight="1" x14ac:dyDescent="0.25">
      <c r="A183" s="8"/>
      <c r="B183" s="8"/>
      <c r="C183" s="63"/>
      <c r="D183" s="8"/>
      <c r="E183" s="71"/>
      <c r="F183" s="8"/>
      <c r="G183" s="63"/>
      <c r="H183" s="8"/>
      <c r="I183" s="71"/>
      <c r="J183" s="10"/>
      <c r="K183" s="10"/>
      <c r="L183" s="71"/>
      <c r="M183" s="8"/>
      <c r="N183" s="8"/>
      <c r="O183" s="8"/>
      <c r="P183" s="8"/>
      <c r="Q183" s="8"/>
      <c r="R183" s="8"/>
      <c r="S183" s="8"/>
      <c r="T183" s="8"/>
      <c r="U183" s="8"/>
      <c r="V183" s="8"/>
      <c r="W183" s="8"/>
      <c r="X183" s="8"/>
      <c r="Y183" s="8"/>
    </row>
    <row r="184" spans="1:25" ht="15.75" customHeight="1" x14ac:dyDescent="0.25">
      <c r="A184" s="8"/>
      <c r="B184" s="8"/>
      <c r="C184" s="63"/>
      <c r="D184" s="8"/>
      <c r="E184" s="71"/>
      <c r="F184" s="8"/>
      <c r="G184" s="63"/>
      <c r="H184" s="8"/>
      <c r="I184" s="71"/>
      <c r="J184" s="10"/>
      <c r="K184" s="10"/>
      <c r="L184" s="71"/>
      <c r="M184" s="8"/>
      <c r="N184" s="8"/>
      <c r="O184" s="8"/>
      <c r="P184" s="8"/>
      <c r="Q184" s="8"/>
      <c r="R184" s="8"/>
      <c r="S184" s="8"/>
      <c r="T184" s="8"/>
      <c r="U184" s="8"/>
      <c r="V184" s="8"/>
      <c r="W184" s="8"/>
      <c r="X184" s="8"/>
      <c r="Y184" s="8"/>
    </row>
    <row r="185" spans="1:25" ht="15.75" customHeight="1" x14ac:dyDescent="0.25">
      <c r="A185" s="8"/>
      <c r="B185" s="8"/>
      <c r="C185" s="63"/>
      <c r="D185" s="8"/>
      <c r="E185" s="71"/>
      <c r="F185" s="8"/>
      <c r="G185" s="63"/>
      <c r="H185" s="8"/>
      <c r="I185" s="71"/>
      <c r="J185" s="10"/>
      <c r="K185" s="10"/>
      <c r="L185" s="71"/>
      <c r="M185" s="8"/>
      <c r="N185" s="8"/>
      <c r="O185" s="8"/>
      <c r="P185" s="8"/>
      <c r="Q185" s="8"/>
      <c r="R185" s="8"/>
      <c r="S185" s="8"/>
      <c r="T185" s="8"/>
      <c r="U185" s="8"/>
      <c r="V185" s="8"/>
      <c r="W185" s="8"/>
      <c r="X185" s="8"/>
      <c r="Y185" s="8"/>
    </row>
    <row r="186" spans="1:25" ht="15.75" customHeight="1" x14ac:dyDescent="0.25">
      <c r="A186" s="8"/>
      <c r="B186" s="8"/>
      <c r="C186" s="63"/>
      <c r="D186" s="8"/>
      <c r="E186" s="71"/>
      <c r="F186" s="8"/>
      <c r="G186" s="63"/>
      <c r="H186" s="8"/>
      <c r="I186" s="71"/>
      <c r="J186" s="10"/>
      <c r="K186" s="10"/>
      <c r="L186" s="71"/>
      <c r="M186" s="8"/>
      <c r="N186" s="8"/>
      <c r="O186" s="8"/>
      <c r="P186" s="8"/>
      <c r="Q186" s="8"/>
      <c r="R186" s="8"/>
      <c r="S186" s="8"/>
      <c r="T186" s="8"/>
      <c r="U186" s="8"/>
      <c r="V186" s="8"/>
      <c r="W186" s="8"/>
      <c r="X186" s="8"/>
      <c r="Y186" s="8"/>
    </row>
    <row r="187" spans="1:25" ht="15.75" customHeight="1" x14ac:dyDescent="0.25">
      <c r="A187" s="8"/>
      <c r="B187" s="8"/>
      <c r="C187" s="63"/>
      <c r="D187" s="8"/>
      <c r="E187" s="71"/>
      <c r="F187" s="8"/>
      <c r="G187" s="63"/>
      <c r="H187" s="8"/>
      <c r="I187" s="71"/>
      <c r="J187" s="10"/>
      <c r="K187" s="10"/>
      <c r="L187" s="71"/>
      <c r="M187" s="8"/>
      <c r="N187" s="8"/>
      <c r="O187" s="8"/>
      <c r="P187" s="8"/>
      <c r="Q187" s="8"/>
      <c r="R187" s="8"/>
      <c r="S187" s="8"/>
      <c r="T187" s="8"/>
      <c r="U187" s="8"/>
      <c r="V187" s="8"/>
      <c r="W187" s="8"/>
      <c r="X187" s="8"/>
      <c r="Y187" s="8"/>
    </row>
    <row r="188" spans="1:25" ht="15.75" customHeight="1" x14ac:dyDescent="0.25">
      <c r="A188" s="8"/>
      <c r="B188" s="8"/>
      <c r="C188" s="63"/>
      <c r="D188" s="8"/>
      <c r="E188" s="71"/>
      <c r="F188" s="8"/>
      <c r="G188" s="63"/>
      <c r="H188" s="8"/>
      <c r="I188" s="71"/>
      <c r="J188" s="10"/>
      <c r="K188" s="10"/>
      <c r="L188" s="71"/>
      <c r="M188" s="8"/>
      <c r="N188" s="8"/>
      <c r="O188" s="8"/>
      <c r="P188" s="8"/>
      <c r="Q188" s="8"/>
      <c r="R188" s="8"/>
      <c r="S188" s="8"/>
      <c r="T188" s="8"/>
      <c r="U188" s="8"/>
      <c r="V188" s="8"/>
      <c r="W188" s="8"/>
      <c r="X188" s="8"/>
      <c r="Y188" s="8"/>
    </row>
    <row r="189" spans="1:25" ht="15.75" customHeight="1" x14ac:dyDescent="0.25">
      <c r="A189" s="8"/>
      <c r="B189" s="8"/>
      <c r="C189" s="63"/>
      <c r="D189" s="8"/>
      <c r="E189" s="71"/>
      <c r="F189" s="8"/>
      <c r="G189" s="63"/>
      <c r="H189" s="8"/>
      <c r="I189" s="71"/>
      <c r="J189" s="10"/>
      <c r="K189" s="10"/>
      <c r="L189" s="71"/>
      <c r="M189" s="8"/>
      <c r="N189" s="8"/>
      <c r="O189" s="8"/>
      <c r="P189" s="8"/>
      <c r="Q189" s="8"/>
      <c r="R189" s="8"/>
      <c r="S189" s="8"/>
      <c r="T189" s="8"/>
      <c r="U189" s="8"/>
      <c r="V189" s="8"/>
      <c r="W189" s="8"/>
      <c r="X189" s="8"/>
      <c r="Y189" s="8"/>
    </row>
    <row r="190" spans="1:25" ht="15.75" customHeight="1" x14ac:dyDescent="0.25">
      <c r="A190" s="8"/>
      <c r="B190" s="8"/>
      <c r="C190" s="63"/>
      <c r="D190" s="8"/>
      <c r="E190" s="71"/>
      <c r="F190" s="8"/>
      <c r="G190" s="63"/>
      <c r="H190" s="8"/>
      <c r="I190" s="71"/>
      <c r="J190" s="10"/>
      <c r="K190" s="10"/>
      <c r="L190" s="71"/>
      <c r="M190" s="8"/>
      <c r="N190" s="8"/>
      <c r="O190" s="8"/>
      <c r="P190" s="8"/>
      <c r="Q190" s="8"/>
      <c r="R190" s="8"/>
      <c r="S190" s="8"/>
      <c r="T190" s="8"/>
      <c r="U190" s="8"/>
      <c r="V190" s="8"/>
      <c r="W190" s="8"/>
      <c r="X190" s="8"/>
      <c r="Y190" s="8"/>
    </row>
    <row r="191" spans="1:25" ht="15.75" customHeight="1" x14ac:dyDescent="0.25">
      <c r="A191" s="8"/>
      <c r="B191" s="8"/>
      <c r="C191" s="63"/>
      <c r="D191" s="8"/>
      <c r="E191" s="71"/>
      <c r="F191" s="8"/>
      <c r="G191" s="63"/>
      <c r="H191" s="8"/>
      <c r="I191" s="71"/>
      <c r="J191" s="10"/>
      <c r="K191" s="10"/>
      <c r="L191" s="71"/>
      <c r="M191" s="8"/>
      <c r="N191" s="8"/>
      <c r="O191" s="8"/>
      <c r="P191" s="8"/>
      <c r="Q191" s="8"/>
      <c r="R191" s="8"/>
      <c r="S191" s="8"/>
      <c r="T191" s="8"/>
      <c r="U191" s="8"/>
      <c r="V191" s="8"/>
      <c r="W191" s="8"/>
      <c r="X191" s="8"/>
      <c r="Y191" s="8"/>
    </row>
    <row r="192" spans="1:25" ht="15.75" customHeight="1" x14ac:dyDescent="0.25">
      <c r="A192" s="8"/>
      <c r="B192" s="8"/>
      <c r="C192" s="63"/>
      <c r="D192" s="8"/>
      <c r="E192" s="71"/>
      <c r="F192" s="8"/>
      <c r="G192" s="63"/>
      <c r="H192" s="8"/>
      <c r="I192" s="71"/>
      <c r="J192" s="10"/>
      <c r="K192" s="10"/>
      <c r="L192" s="71"/>
      <c r="M192" s="8"/>
      <c r="N192" s="8"/>
      <c r="O192" s="8"/>
      <c r="P192" s="8"/>
      <c r="Q192" s="8"/>
      <c r="R192" s="8"/>
      <c r="S192" s="8"/>
      <c r="T192" s="8"/>
      <c r="U192" s="8"/>
      <c r="V192" s="8"/>
      <c r="W192" s="8"/>
      <c r="X192" s="8"/>
      <c r="Y192" s="8"/>
    </row>
    <row r="193" spans="1:25" ht="15.75" customHeight="1" x14ac:dyDescent="0.25">
      <c r="A193" s="8"/>
      <c r="B193" s="8"/>
      <c r="C193" s="63"/>
      <c r="D193" s="8"/>
      <c r="E193" s="71"/>
      <c r="F193" s="8"/>
      <c r="G193" s="63"/>
      <c r="H193" s="8"/>
      <c r="I193" s="71"/>
      <c r="J193" s="10"/>
      <c r="K193" s="10"/>
      <c r="L193" s="71"/>
      <c r="M193" s="8"/>
      <c r="N193" s="8"/>
      <c r="O193" s="8"/>
      <c r="P193" s="8"/>
      <c r="Q193" s="8"/>
      <c r="R193" s="8"/>
      <c r="S193" s="8"/>
      <c r="T193" s="8"/>
      <c r="U193" s="8"/>
      <c r="V193" s="8"/>
      <c r="W193" s="8"/>
      <c r="X193" s="8"/>
      <c r="Y193" s="8"/>
    </row>
    <row r="194" spans="1:25" ht="15.75" customHeight="1" x14ac:dyDescent="0.25">
      <c r="A194" s="8"/>
      <c r="B194" s="8"/>
      <c r="C194" s="63"/>
      <c r="D194" s="8"/>
      <c r="E194" s="71"/>
      <c r="F194" s="8"/>
      <c r="G194" s="63"/>
      <c r="H194" s="8"/>
      <c r="I194" s="71"/>
      <c r="J194" s="10"/>
      <c r="K194" s="10"/>
      <c r="L194" s="71"/>
      <c r="M194" s="8"/>
      <c r="N194" s="8"/>
      <c r="O194" s="8"/>
      <c r="P194" s="8"/>
      <c r="Q194" s="8"/>
      <c r="R194" s="8"/>
      <c r="S194" s="8"/>
      <c r="T194" s="8"/>
      <c r="U194" s="8"/>
      <c r="V194" s="8"/>
      <c r="W194" s="8"/>
      <c r="X194" s="8"/>
      <c r="Y194" s="8"/>
    </row>
    <row r="195" spans="1:25" ht="15.75" customHeight="1" x14ac:dyDescent="0.25">
      <c r="A195" s="8"/>
      <c r="B195" s="8"/>
      <c r="C195" s="63"/>
      <c r="D195" s="8"/>
      <c r="E195" s="71"/>
      <c r="F195" s="8"/>
      <c r="G195" s="63"/>
      <c r="H195" s="8"/>
      <c r="I195" s="71"/>
      <c r="J195" s="10"/>
      <c r="K195" s="10"/>
      <c r="L195" s="71"/>
      <c r="M195" s="8"/>
      <c r="N195" s="8"/>
      <c r="O195" s="8"/>
      <c r="P195" s="8"/>
      <c r="Q195" s="8"/>
      <c r="R195" s="8"/>
      <c r="S195" s="8"/>
      <c r="T195" s="8"/>
      <c r="U195" s="8"/>
      <c r="V195" s="8"/>
      <c r="W195" s="8"/>
      <c r="X195" s="8"/>
      <c r="Y195" s="8"/>
    </row>
    <row r="196" spans="1:25" ht="15.75" customHeight="1" x14ac:dyDescent="0.25">
      <c r="A196" s="8"/>
      <c r="B196" s="8"/>
      <c r="C196" s="63"/>
      <c r="D196" s="8"/>
      <c r="E196" s="71"/>
      <c r="F196" s="8"/>
      <c r="G196" s="63"/>
      <c r="H196" s="8"/>
      <c r="I196" s="71"/>
      <c r="J196" s="10"/>
      <c r="K196" s="10"/>
      <c r="L196" s="71"/>
      <c r="M196" s="8"/>
      <c r="N196" s="8"/>
      <c r="O196" s="8"/>
      <c r="P196" s="8"/>
      <c r="Q196" s="8"/>
      <c r="R196" s="8"/>
      <c r="S196" s="8"/>
      <c r="T196" s="8"/>
      <c r="U196" s="8"/>
      <c r="V196" s="8"/>
      <c r="W196" s="8"/>
      <c r="X196" s="8"/>
      <c r="Y196" s="8"/>
    </row>
    <row r="197" spans="1:25" ht="15.75" customHeight="1" x14ac:dyDescent="0.25">
      <c r="A197" s="8"/>
      <c r="B197" s="8"/>
      <c r="C197" s="63"/>
      <c r="D197" s="8"/>
      <c r="E197" s="71"/>
      <c r="F197" s="8"/>
      <c r="G197" s="63"/>
      <c r="H197" s="8"/>
      <c r="I197" s="71"/>
      <c r="J197" s="10"/>
      <c r="K197" s="10"/>
      <c r="L197" s="71"/>
      <c r="M197" s="8"/>
      <c r="N197" s="8"/>
      <c r="O197" s="8"/>
      <c r="P197" s="8"/>
      <c r="Q197" s="8"/>
      <c r="R197" s="8"/>
      <c r="S197" s="8"/>
      <c r="T197" s="8"/>
      <c r="U197" s="8"/>
      <c r="V197" s="8"/>
      <c r="W197" s="8"/>
      <c r="X197" s="8"/>
      <c r="Y197" s="8"/>
    </row>
    <row r="198" spans="1:25" ht="15.75" customHeight="1" x14ac:dyDescent="0.25">
      <c r="A198" s="8"/>
      <c r="B198" s="8"/>
      <c r="C198" s="63"/>
      <c r="D198" s="8"/>
      <c r="E198" s="71"/>
      <c r="F198" s="8"/>
      <c r="G198" s="63"/>
      <c r="H198" s="8"/>
      <c r="I198" s="71"/>
      <c r="J198" s="10"/>
      <c r="K198" s="10"/>
      <c r="L198" s="71"/>
      <c r="M198" s="8"/>
      <c r="N198" s="8"/>
      <c r="O198" s="8"/>
      <c r="P198" s="8"/>
      <c r="Q198" s="8"/>
      <c r="R198" s="8"/>
      <c r="S198" s="8"/>
      <c r="T198" s="8"/>
      <c r="U198" s="8"/>
      <c r="V198" s="8"/>
      <c r="W198" s="8"/>
      <c r="X198" s="8"/>
      <c r="Y198" s="8"/>
    </row>
    <row r="199" spans="1:25" ht="15.75" customHeight="1" x14ac:dyDescent="0.25">
      <c r="A199" s="8"/>
      <c r="B199" s="8"/>
      <c r="C199" s="63"/>
      <c r="D199" s="8"/>
      <c r="E199" s="71"/>
      <c r="F199" s="8"/>
      <c r="G199" s="63"/>
      <c r="H199" s="8"/>
      <c r="I199" s="71"/>
      <c r="J199" s="10"/>
      <c r="K199" s="10"/>
      <c r="L199" s="71"/>
      <c r="M199" s="8"/>
      <c r="N199" s="8"/>
      <c r="O199" s="8"/>
      <c r="P199" s="8"/>
      <c r="Q199" s="8"/>
      <c r="R199" s="8"/>
      <c r="S199" s="8"/>
      <c r="T199" s="8"/>
      <c r="U199" s="8"/>
      <c r="V199" s="8"/>
      <c r="W199" s="8"/>
      <c r="X199" s="8"/>
      <c r="Y199" s="8"/>
    </row>
    <row r="200" spans="1:25" ht="15.75" customHeight="1" x14ac:dyDescent="0.25">
      <c r="A200" s="8"/>
      <c r="B200" s="8"/>
      <c r="C200" s="63"/>
      <c r="D200" s="8"/>
      <c r="E200" s="71"/>
      <c r="F200" s="8"/>
      <c r="G200" s="63"/>
      <c r="H200" s="8"/>
      <c r="I200" s="71"/>
      <c r="J200" s="10"/>
      <c r="K200" s="10"/>
      <c r="L200" s="71"/>
      <c r="M200" s="8"/>
      <c r="N200" s="8"/>
      <c r="O200" s="8"/>
      <c r="P200" s="8"/>
      <c r="Q200" s="8"/>
      <c r="R200" s="8"/>
      <c r="S200" s="8"/>
      <c r="T200" s="8"/>
      <c r="U200" s="8"/>
      <c r="V200" s="8"/>
      <c r="W200" s="8"/>
      <c r="X200" s="8"/>
      <c r="Y200" s="8"/>
    </row>
    <row r="201" spans="1:25" ht="15.75" customHeight="1" x14ac:dyDescent="0.25">
      <c r="A201" s="8"/>
      <c r="B201" s="8"/>
      <c r="C201" s="63"/>
      <c r="D201" s="8"/>
      <c r="E201" s="71"/>
      <c r="F201" s="8"/>
      <c r="G201" s="63"/>
      <c r="H201" s="8"/>
      <c r="I201" s="71"/>
      <c r="J201" s="10"/>
      <c r="K201" s="10"/>
      <c r="L201" s="71"/>
      <c r="M201" s="8"/>
      <c r="N201" s="8"/>
      <c r="O201" s="8"/>
      <c r="P201" s="8"/>
      <c r="Q201" s="8"/>
      <c r="R201" s="8"/>
      <c r="S201" s="8"/>
      <c r="T201" s="8"/>
      <c r="U201" s="8"/>
      <c r="V201" s="8"/>
      <c r="W201" s="8"/>
      <c r="X201" s="8"/>
      <c r="Y201" s="8"/>
    </row>
    <row r="202" spans="1:25" ht="15.75" customHeight="1" x14ac:dyDescent="0.25">
      <c r="A202" s="8"/>
      <c r="B202" s="8"/>
      <c r="C202" s="63"/>
      <c r="D202" s="8"/>
      <c r="E202" s="71"/>
      <c r="F202" s="8"/>
      <c r="G202" s="63"/>
      <c r="H202" s="8"/>
      <c r="I202" s="71"/>
      <c r="J202" s="10"/>
      <c r="K202" s="10"/>
      <c r="L202" s="71"/>
      <c r="M202" s="8"/>
      <c r="N202" s="8"/>
      <c r="O202" s="8"/>
      <c r="P202" s="8"/>
      <c r="Q202" s="8"/>
      <c r="R202" s="8"/>
      <c r="S202" s="8"/>
      <c r="T202" s="8"/>
      <c r="U202" s="8"/>
      <c r="V202" s="8"/>
      <c r="W202" s="8"/>
      <c r="X202" s="8"/>
      <c r="Y202" s="8"/>
    </row>
    <row r="203" spans="1:25" ht="15.75" customHeight="1" x14ac:dyDescent="0.25">
      <c r="A203" s="8"/>
      <c r="B203" s="8"/>
      <c r="C203" s="63"/>
      <c r="D203" s="8"/>
      <c r="E203" s="71"/>
      <c r="F203" s="8"/>
      <c r="G203" s="63"/>
      <c r="H203" s="8"/>
      <c r="I203" s="71"/>
      <c r="J203" s="10"/>
      <c r="K203" s="10"/>
      <c r="L203" s="71"/>
      <c r="M203" s="8"/>
      <c r="N203" s="8"/>
      <c r="O203" s="8"/>
      <c r="P203" s="8"/>
      <c r="Q203" s="8"/>
      <c r="R203" s="8"/>
      <c r="S203" s="8"/>
      <c r="T203" s="8"/>
      <c r="U203" s="8"/>
      <c r="V203" s="8"/>
      <c r="W203" s="8"/>
      <c r="X203" s="8"/>
      <c r="Y203" s="8"/>
    </row>
    <row r="204" spans="1:25" ht="15.75" customHeight="1" x14ac:dyDescent="0.25">
      <c r="A204" s="8"/>
      <c r="B204" s="8"/>
      <c r="C204" s="63"/>
      <c r="D204" s="8"/>
      <c r="E204" s="71"/>
      <c r="F204" s="8"/>
      <c r="G204" s="63"/>
      <c r="H204" s="8"/>
      <c r="I204" s="71"/>
      <c r="J204" s="10"/>
      <c r="K204" s="10"/>
      <c r="L204" s="71"/>
      <c r="M204" s="8"/>
      <c r="N204" s="8"/>
      <c r="O204" s="8"/>
      <c r="P204" s="8"/>
      <c r="Q204" s="8"/>
      <c r="R204" s="8"/>
      <c r="S204" s="8"/>
      <c r="T204" s="8"/>
      <c r="U204" s="8"/>
      <c r="V204" s="8"/>
      <c r="W204" s="8"/>
      <c r="X204" s="8"/>
      <c r="Y204" s="8"/>
    </row>
    <row r="205" spans="1:25" ht="15.75" customHeight="1" x14ac:dyDescent="0.25">
      <c r="A205" s="8"/>
      <c r="B205" s="8"/>
      <c r="C205" s="63"/>
      <c r="D205" s="8"/>
      <c r="E205" s="71"/>
      <c r="F205" s="8"/>
      <c r="G205" s="63"/>
      <c r="H205" s="8"/>
      <c r="I205" s="71"/>
      <c r="J205" s="10"/>
      <c r="K205" s="10"/>
      <c r="L205" s="71"/>
      <c r="M205" s="8"/>
      <c r="N205" s="8"/>
      <c r="O205" s="8"/>
      <c r="P205" s="8"/>
      <c r="Q205" s="8"/>
      <c r="R205" s="8"/>
      <c r="S205" s="8"/>
      <c r="T205" s="8"/>
      <c r="U205" s="8"/>
      <c r="V205" s="8"/>
      <c r="W205" s="8"/>
      <c r="X205" s="8"/>
      <c r="Y205" s="8"/>
    </row>
    <row r="206" spans="1:25" ht="15.75" customHeight="1" x14ac:dyDescent="0.25">
      <c r="A206" s="8"/>
      <c r="B206" s="8"/>
      <c r="C206" s="63"/>
      <c r="D206" s="8"/>
      <c r="E206" s="71"/>
      <c r="F206" s="8"/>
      <c r="G206" s="63"/>
      <c r="H206" s="8"/>
      <c r="I206" s="71"/>
      <c r="J206" s="10"/>
      <c r="K206" s="10"/>
      <c r="L206" s="71"/>
      <c r="M206" s="8"/>
      <c r="N206" s="8"/>
      <c r="O206" s="8"/>
      <c r="P206" s="8"/>
      <c r="Q206" s="8"/>
      <c r="R206" s="8"/>
      <c r="S206" s="8"/>
      <c r="T206" s="8"/>
      <c r="U206" s="8"/>
      <c r="V206" s="8"/>
      <c r="W206" s="8"/>
      <c r="X206" s="8"/>
      <c r="Y206" s="8"/>
    </row>
    <row r="207" spans="1:25" ht="15.75" customHeight="1" x14ac:dyDescent="0.25">
      <c r="A207" s="8"/>
      <c r="B207" s="8"/>
      <c r="C207" s="63"/>
      <c r="D207" s="8"/>
      <c r="E207" s="71"/>
      <c r="F207" s="8"/>
      <c r="G207" s="63"/>
      <c r="H207" s="8"/>
      <c r="I207" s="71"/>
      <c r="J207" s="10"/>
      <c r="K207" s="10"/>
      <c r="L207" s="71"/>
      <c r="M207" s="8"/>
      <c r="N207" s="8"/>
      <c r="O207" s="8"/>
      <c r="P207" s="8"/>
      <c r="Q207" s="8"/>
      <c r="R207" s="8"/>
      <c r="S207" s="8"/>
      <c r="T207" s="8"/>
      <c r="U207" s="8"/>
      <c r="V207" s="8"/>
      <c r="W207" s="8"/>
      <c r="X207" s="8"/>
      <c r="Y207" s="8"/>
    </row>
    <row r="208" spans="1:25" ht="15.75" customHeight="1" x14ac:dyDescent="0.25">
      <c r="A208" s="8"/>
      <c r="B208" s="8"/>
      <c r="C208" s="63"/>
      <c r="D208" s="8"/>
      <c r="E208" s="71"/>
      <c r="F208" s="8"/>
      <c r="G208" s="63"/>
      <c r="H208" s="8"/>
      <c r="I208" s="71"/>
      <c r="J208" s="10"/>
      <c r="K208" s="10"/>
      <c r="L208" s="71"/>
      <c r="M208" s="8"/>
      <c r="N208" s="8"/>
      <c r="O208" s="8"/>
      <c r="P208" s="8"/>
      <c r="Q208" s="8"/>
      <c r="R208" s="8"/>
      <c r="S208" s="8"/>
      <c r="T208" s="8"/>
      <c r="U208" s="8"/>
      <c r="V208" s="8"/>
      <c r="W208" s="8"/>
      <c r="X208" s="8"/>
      <c r="Y208" s="8"/>
    </row>
    <row r="209" spans="1:25" ht="15.75" customHeight="1" x14ac:dyDescent="0.25">
      <c r="A209" s="8"/>
      <c r="B209" s="8"/>
      <c r="C209" s="63"/>
      <c r="D209" s="8"/>
      <c r="E209" s="71"/>
      <c r="F209" s="8"/>
      <c r="G209" s="63"/>
      <c r="H209" s="8"/>
      <c r="I209" s="71"/>
      <c r="J209" s="10"/>
      <c r="K209" s="10"/>
      <c r="L209" s="71"/>
      <c r="M209" s="8"/>
      <c r="N209" s="8"/>
      <c r="O209" s="8"/>
      <c r="P209" s="8"/>
      <c r="Q209" s="8"/>
      <c r="R209" s="8"/>
      <c r="S209" s="8"/>
      <c r="T209" s="8"/>
      <c r="U209" s="8"/>
      <c r="V209" s="8"/>
      <c r="W209" s="8"/>
      <c r="X209" s="8"/>
      <c r="Y209" s="8"/>
    </row>
    <row r="210" spans="1:25" ht="15.75" customHeight="1" x14ac:dyDescent="0.25">
      <c r="A210" s="8"/>
      <c r="B210" s="8"/>
      <c r="C210" s="63"/>
      <c r="D210" s="8"/>
      <c r="E210" s="71"/>
      <c r="F210" s="8"/>
      <c r="G210" s="63"/>
      <c r="H210" s="8"/>
      <c r="I210" s="71"/>
      <c r="J210" s="10"/>
      <c r="K210" s="10"/>
      <c r="L210" s="71"/>
      <c r="M210" s="8"/>
      <c r="N210" s="8"/>
      <c r="O210" s="8"/>
      <c r="P210" s="8"/>
      <c r="Q210" s="8"/>
      <c r="R210" s="8"/>
      <c r="S210" s="8"/>
      <c r="T210" s="8"/>
      <c r="U210" s="8"/>
      <c r="V210" s="8"/>
      <c r="W210" s="8"/>
      <c r="X210" s="8"/>
      <c r="Y210" s="8"/>
    </row>
    <row r="211" spans="1:25" ht="15.75" customHeight="1" x14ac:dyDescent="0.25">
      <c r="A211" s="8"/>
      <c r="B211" s="8"/>
      <c r="C211" s="63"/>
      <c r="D211" s="8"/>
      <c r="E211" s="71"/>
      <c r="F211" s="8"/>
      <c r="G211" s="63"/>
      <c r="H211" s="8"/>
      <c r="I211" s="71"/>
      <c r="J211" s="10"/>
      <c r="K211" s="10"/>
      <c r="L211" s="71"/>
      <c r="M211" s="8"/>
      <c r="N211" s="8"/>
      <c r="O211" s="8"/>
      <c r="P211" s="8"/>
      <c r="Q211" s="8"/>
      <c r="R211" s="8"/>
      <c r="S211" s="8"/>
      <c r="T211" s="8"/>
      <c r="U211" s="8"/>
      <c r="V211" s="8"/>
      <c r="W211" s="8"/>
      <c r="X211" s="8"/>
      <c r="Y211" s="8"/>
    </row>
    <row r="212" spans="1:25" ht="15.75" customHeight="1" x14ac:dyDescent="0.25">
      <c r="A212" s="8"/>
      <c r="B212" s="8"/>
      <c r="C212" s="63"/>
      <c r="D212" s="8"/>
      <c r="E212" s="71"/>
      <c r="F212" s="8"/>
      <c r="G212" s="63"/>
      <c r="H212" s="8"/>
      <c r="I212" s="71"/>
      <c r="J212" s="10"/>
      <c r="K212" s="10"/>
      <c r="L212" s="71"/>
      <c r="M212" s="8"/>
      <c r="N212" s="8"/>
      <c r="O212" s="8"/>
      <c r="P212" s="8"/>
      <c r="Q212" s="8"/>
      <c r="R212" s="8"/>
      <c r="S212" s="8"/>
      <c r="T212" s="8"/>
      <c r="U212" s="8"/>
      <c r="V212" s="8"/>
      <c r="W212" s="8"/>
      <c r="X212" s="8"/>
      <c r="Y212" s="8"/>
    </row>
    <row r="213" spans="1:25" ht="15.75" customHeight="1" x14ac:dyDescent="0.25">
      <c r="A213" s="8"/>
      <c r="B213" s="8"/>
      <c r="C213" s="63"/>
      <c r="D213" s="8"/>
      <c r="E213" s="71"/>
      <c r="F213" s="8"/>
      <c r="G213" s="63"/>
      <c r="H213" s="8"/>
      <c r="I213" s="71"/>
      <c r="J213" s="10"/>
      <c r="K213" s="10"/>
      <c r="L213" s="71"/>
      <c r="M213" s="8"/>
      <c r="N213" s="8"/>
      <c r="O213" s="8"/>
      <c r="P213" s="8"/>
      <c r="Q213" s="8"/>
      <c r="R213" s="8"/>
      <c r="S213" s="8"/>
      <c r="T213" s="8"/>
      <c r="U213" s="8"/>
      <c r="V213" s="8"/>
      <c r="W213" s="8"/>
      <c r="X213" s="8"/>
      <c r="Y213" s="8"/>
    </row>
    <row r="214" spans="1:25" ht="15.75" customHeight="1" x14ac:dyDescent="0.25">
      <c r="A214" s="8"/>
      <c r="B214" s="8"/>
      <c r="C214" s="63"/>
      <c r="D214" s="8"/>
      <c r="E214" s="71"/>
      <c r="F214" s="8"/>
      <c r="G214" s="63"/>
      <c r="H214" s="8"/>
      <c r="I214" s="71"/>
      <c r="J214" s="10"/>
      <c r="K214" s="10"/>
      <c r="L214" s="71"/>
      <c r="M214" s="8"/>
      <c r="N214" s="8"/>
      <c r="O214" s="8"/>
      <c r="P214" s="8"/>
      <c r="Q214" s="8"/>
      <c r="R214" s="8"/>
      <c r="S214" s="8"/>
      <c r="T214" s="8"/>
      <c r="U214" s="8"/>
      <c r="V214" s="8"/>
      <c r="W214" s="8"/>
      <c r="X214" s="8"/>
      <c r="Y214" s="8"/>
    </row>
    <row r="215" spans="1:25" ht="15.75" customHeight="1" x14ac:dyDescent="0.25">
      <c r="A215" s="8"/>
      <c r="B215" s="8"/>
      <c r="C215" s="63"/>
      <c r="D215" s="8"/>
      <c r="E215" s="71"/>
      <c r="F215" s="8"/>
      <c r="G215" s="63"/>
      <c r="H215" s="8"/>
      <c r="I215" s="71"/>
      <c r="J215" s="10"/>
      <c r="K215" s="10"/>
      <c r="L215" s="71"/>
      <c r="M215" s="8"/>
      <c r="N215" s="8"/>
      <c r="O215" s="8"/>
      <c r="P215" s="8"/>
      <c r="Q215" s="8"/>
      <c r="R215" s="8"/>
      <c r="S215" s="8"/>
      <c r="T215" s="8"/>
      <c r="U215" s="8"/>
      <c r="V215" s="8"/>
      <c r="W215" s="8"/>
      <c r="X215" s="8"/>
      <c r="Y215" s="8"/>
    </row>
    <row r="216" spans="1:25" ht="15.75" customHeight="1" x14ac:dyDescent="0.25">
      <c r="A216" s="8"/>
      <c r="B216" s="8"/>
      <c r="C216" s="63"/>
      <c r="D216" s="8"/>
      <c r="E216" s="71"/>
      <c r="F216" s="8"/>
      <c r="G216" s="63"/>
      <c r="H216" s="8"/>
      <c r="I216" s="71"/>
      <c r="J216" s="10"/>
      <c r="K216" s="10"/>
      <c r="L216" s="71"/>
      <c r="M216" s="8"/>
      <c r="N216" s="8"/>
      <c r="O216" s="8"/>
      <c r="P216" s="8"/>
      <c r="Q216" s="8"/>
      <c r="R216" s="8"/>
      <c r="S216" s="8"/>
      <c r="T216" s="8"/>
      <c r="U216" s="8"/>
      <c r="V216" s="8"/>
      <c r="W216" s="8"/>
      <c r="X216" s="8"/>
      <c r="Y216" s="8"/>
    </row>
    <row r="217" spans="1:25" ht="15.75" customHeight="1" x14ac:dyDescent="0.25">
      <c r="A217" s="8"/>
      <c r="B217" s="8"/>
      <c r="C217" s="63"/>
      <c r="D217" s="8"/>
      <c r="E217" s="71"/>
      <c r="F217" s="8"/>
      <c r="G217" s="63"/>
      <c r="H217" s="8"/>
      <c r="I217" s="71"/>
      <c r="J217" s="10"/>
      <c r="K217" s="10"/>
      <c r="L217" s="71"/>
      <c r="M217" s="8"/>
      <c r="N217" s="8"/>
      <c r="O217" s="8"/>
      <c r="P217" s="8"/>
      <c r="Q217" s="8"/>
      <c r="R217" s="8"/>
      <c r="S217" s="8"/>
      <c r="T217" s="8"/>
      <c r="U217" s="8"/>
      <c r="V217" s="8"/>
      <c r="W217" s="8"/>
      <c r="X217" s="8"/>
      <c r="Y217" s="8"/>
    </row>
    <row r="218" spans="1:25" ht="15.75" customHeight="1" x14ac:dyDescent="0.25">
      <c r="A218" s="8"/>
      <c r="B218" s="8"/>
      <c r="C218" s="63"/>
      <c r="D218" s="8"/>
      <c r="E218" s="71"/>
      <c r="F218" s="8"/>
      <c r="G218" s="63"/>
      <c r="H218" s="8"/>
      <c r="I218" s="71"/>
      <c r="J218" s="10"/>
      <c r="K218" s="10"/>
      <c r="L218" s="71"/>
      <c r="M218" s="8"/>
      <c r="N218" s="8"/>
      <c r="O218" s="8"/>
      <c r="P218" s="8"/>
      <c r="Q218" s="8"/>
      <c r="R218" s="8"/>
      <c r="S218" s="8"/>
      <c r="T218" s="8"/>
      <c r="U218" s="8"/>
      <c r="V218" s="8"/>
      <c r="W218" s="8"/>
      <c r="X218" s="8"/>
      <c r="Y218" s="8"/>
    </row>
    <row r="219" spans="1:25" ht="15.75" customHeight="1" x14ac:dyDescent="0.25">
      <c r="A219" s="8"/>
      <c r="B219" s="8"/>
      <c r="C219" s="63"/>
      <c r="D219" s="8"/>
      <c r="E219" s="71"/>
      <c r="F219" s="8"/>
      <c r="G219" s="63"/>
      <c r="H219" s="8"/>
      <c r="I219" s="71"/>
      <c r="J219" s="10"/>
      <c r="K219" s="10"/>
      <c r="L219" s="71"/>
      <c r="M219" s="8"/>
      <c r="N219" s="8"/>
      <c r="O219" s="8"/>
      <c r="P219" s="8"/>
      <c r="Q219" s="8"/>
      <c r="R219" s="8"/>
      <c r="S219" s="8"/>
      <c r="T219" s="8"/>
      <c r="U219" s="8"/>
      <c r="V219" s="8"/>
      <c r="W219" s="8"/>
      <c r="X219" s="8"/>
      <c r="Y219" s="8"/>
    </row>
    <row r="220" spans="1:25" ht="15.75" customHeight="1" x14ac:dyDescent="0.25">
      <c r="A220" s="8"/>
      <c r="B220" s="8"/>
      <c r="C220" s="63"/>
      <c r="D220" s="8"/>
      <c r="E220" s="71"/>
      <c r="F220" s="8"/>
      <c r="G220" s="63"/>
      <c r="H220" s="8"/>
      <c r="I220" s="71"/>
      <c r="J220" s="10"/>
      <c r="K220" s="10"/>
      <c r="L220" s="71"/>
      <c r="M220" s="8"/>
      <c r="N220" s="8"/>
      <c r="O220" s="8"/>
      <c r="P220" s="8"/>
      <c r="Q220" s="8"/>
      <c r="R220" s="8"/>
      <c r="S220" s="8"/>
      <c r="T220" s="8"/>
      <c r="U220" s="8"/>
      <c r="V220" s="8"/>
      <c r="W220" s="8"/>
      <c r="X220" s="8"/>
      <c r="Y220" s="8"/>
    </row>
    <row r="221" spans="1:25" ht="15.75" customHeight="1" x14ac:dyDescent="0.25">
      <c r="A221" s="8"/>
      <c r="B221" s="8"/>
      <c r="C221" s="63"/>
      <c r="D221" s="8"/>
      <c r="E221" s="71"/>
      <c r="F221" s="8"/>
      <c r="G221" s="63"/>
      <c r="H221" s="8"/>
      <c r="I221" s="71"/>
      <c r="J221" s="10"/>
      <c r="K221" s="10"/>
      <c r="L221" s="71"/>
      <c r="M221" s="8"/>
      <c r="N221" s="8"/>
      <c r="O221" s="8"/>
      <c r="P221" s="8"/>
      <c r="Q221" s="8"/>
      <c r="R221" s="8"/>
      <c r="S221" s="8"/>
      <c r="T221" s="8"/>
      <c r="U221" s="8"/>
      <c r="V221" s="8"/>
      <c r="W221" s="8"/>
      <c r="X221" s="8"/>
      <c r="Y221" s="8"/>
    </row>
    <row r="222" spans="1:25" ht="15.75" customHeight="1" x14ac:dyDescent="0.25">
      <c r="A222" s="8"/>
      <c r="B222" s="8"/>
      <c r="C222" s="63"/>
      <c r="D222" s="8"/>
      <c r="E222" s="71"/>
      <c r="F222" s="8"/>
      <c r="G222" s="63"/>
      <c r="H222" s="8"/>
      <c r="I222" s="71"/>
      <c r="J222" s="10"/>
      <c r="K222" s="10"/>
      <c r="L222" s="71"/>
      <c r="M222" s="8"/>
      <c r="N222" s="8"/>
      <c r="O222" s="8"/>
      <c r="P222" s="8"/>
      <c r="Q222" s="8"/>
      <c r="R222" s="8"/>
      <c r="S222" s="8"/>
      <c r="T222" s="8"/>
      <c r="U222" s="8"/>
      <c r="V222" s="8"/>
      <c r="W222" s="8"/>
      <c r="X222" s="8"/>
      <c r="Y222" s="8"/>
    </row>
    <row r="223" spans="1:25" ht="15.75" customHeight="1" x14ac:dyDescent="0.25">
      <c r="A223" s="8"/>
      <c r="B223" s="8"/>
      <c r="C223" s="63"/>
      <c r="D223" s="8"/>
      <c r="E223" s="71"/>
      <c r="F223" s="8"/>
      <c r="G223" s="63"/>
      <c r="H223" s="8"/>
      <c r="I223" s="71"/>
      <c r="J223" s="10"/>
      <c r="K223" s="10"/>
      <c r="L223" s="71"/>
      <c r="M223" s="8"/>
      <c r="N223" s="8"/>
      <c r="O223" s="8"/>
      <c r="P223" s="8"/>
      <c r="Q223" s="8"/>
      <c r="R223" s="8"/>
      <c r="S223" s="8"/>
      <c r="T223" s="8"/>
      <c r="U223" s="8"/>
      <c r="V223" s="8"/>
      <c r="W223" s="8"/>
      <c r="X223" s="8"/>
      <c r="Y223" s="8"/>
    </row>
    <row r="224" spans="1:25" ht="15.75" customHeight="1" x14ac:dyDescent="0.25">
      <c r="A224" s="8"/>
      <c r="B224" s="8"/>
      <c r="C224" s="63"/>
      <c r="D224" s="8"/>
      <c r="E224" s="71"/>
      <c r="F224" s="8"/>
      <c r="G224" s="63"/>
      <c r="H224" s="8"/>
      <c r="I224" s="71"/>
      <c r="J224" s="10"/>
      <c r="K224" s="10"/>
      <c r="L224" s="71"/>
      <c r="M224" s="8"/>
      <c r="N224" s="8"/>
      <c r="O224" s="8"/>
      <c r="P224" s="8"/>
      <c r="Q224" s="8"/>
      <c r="R224" s="8"/>
      <c r="S224" s="8"/>
      <c r="T224" s="8"/>
      <c r="U224" s="8"/>
      <c r="V224" s="8"/>
      <c r="W224" s="8"/>
      <c r="X224" s="8"/>
      <c r="Y224" s="8"/>
    </row>
    <row r="225" spans="1:25" ht="15.75" customHeight="1" x14ac:dyDescent="0.25">
      <c r="A225" s="8"/>
      <c r="B225" s="8"/>
      <c r="C225" s="63"/>
      <c r="D225" s="8"/>
      <c r="E225" s="71"/>
      <c r="F225" s="8"/>
      <c r="G225" s="63"/>
      <c r="H225" s="8"/>
      <c r="I225" s="71"/>
      <c r="J225" s="10"/>
      <c r="K225" s="10"/>
      <c r="L225" s="71"/>
      <c r="M225" s="8"/>
      <c r="N225" s="8"/>
      <c r="O225" s="8"/>
      <c r="P225" s="8"/>
      <c r="Q225" s="8"/>
      <c r="R225" s="8"/>
      <c r="S225" s="8"/>
      <c r="T225" s="8"/>
      <c r="U225" s="8"/>
      <c r="V225" s="8"/>
      <c r="W225" s="8"/>
      <c r="X225" s="8"/>
      <c r="Y225" s="8"/>
    </row>
    <row r="226" spans="1:25" ht="15.75" customHeight="1" x14ac:dyDescent="0.25">
      <c r="A226" s="8"/>
      <c r="B226" s="8"/>
      <c r="C226" s="63"/>
      <c r="D226" s="8"/>
      <c r="E226" s="71"/>
      <c r="F226" s="8"/>
      <c r="G226" s="63"/>
      <c r="H226" s="8"/>
      <c r="I226" s="71"/>
      <c r="J226" s="10"/>
      <c r="K226" s="10"/>
      <c r="L226" s="71"/>
      <c r="M226" s="8"/>
      <c r="N226" s="8"/>
      <c r="O226" s="8"/>
      <c r="P226" s="8"/>
      <c r="Q226" s="8"/>
      <c r="R226" s="8"/>
      <c r="S226" s="8"/>
      <c r="T226" s="8"/>
      <c r="U226" s="8"/>
      <c r="V226" s="8"/>
      <c r="W226" s="8"/>
      <c r="X226" s="8"/>
      <c r="Y226" s="8"/>
    </row>
    <row r="227" spans="1:25" ht="15.75" customHeight="1" x14ac:dyDescent="0.25">
      <c r="A227" s="8"/>
      <c r="B227" s="8"/>
      <c r="C227" s="63"/>
      <c r="D227" s="8"/>
      <c r="E227" s="71"/>
      <c r="F227" s="8"/>
      <c r="G227" s="63"/>
      <c r="H227" s="8"/>
      <c r="I227" s="71"/>
      <c r="J227" s="10"/>
      <c r="K227" s="10"/>
      <c r="L227" s="71"/>
      <c r="M227" s="8"/>
      <c r="N227" s="8"/>
      <c r="O227" s="8"/>
      <c r="P227" s="8"/>
      <c r="Q227" s="8"/>
      <c r="R227" s="8"/>
      <c r="S227" s="8"/>
      <c r="T227" s="8"/>
      <c r="U227" s="8"/>
      <c r="V227" s="8"/>
      <c r="W227" s="8"/>
      <c r="X227" s="8"/>
      <c r="Y227" s="8"/>
    </row>
    <row r="228" spans="1:25" ht="15.75" customHeight="1" x14ac:dyDescent="0.25">
      <c r="A228" s="8"/>
      <c r="B228" s="8"/>
      <c r="C228" s="63"/>
      <c r="D228" s="8"/>
      <c r="E228" s="71"/>
      <c r="F228" s="8"/>
      <c r="G228" s="63"/>
      <c r="H228" s="8"/>
      <c r="I228" s="71"/>
      <c r="J228" s="10"/>
      <c r="K228" s="10"/>
      <c r="L228" s="71"/>
      <c r="M228" s="8"/>
      <c r="N228" s="8"/>
      <c r="O228" s="8"/>
      <c r="P228" s="8"/>
      <c r="Q228" s="8"/>
      <c r="R228" s="8"/>
      <c r="S228" s="8"/>
      <c r="T228" s="8"/>
      <c r="U228" s="8"/>
      <c r="V228" s="8"/>
      <c r="W228" s="8"/>
      <c r="X228" s="8"/>
      <c r="Y228" s="8"/>
    </row>
    <row r="229" spans="1:25" ht="15.75" customHeight="1" x14ac:dyDescent="0.25">
      <c r="A229" s="8"/>
      <c r="B229" s="8"/>
      <c r="C229" s="63"/>
      <c r="D229" s="8"/>
      <c r="E229" s="71"/>
      <c r="F229" s="8"/>
      <c r="G229" s="63"/>
      <c r="H229" s="8"/>
      <c r="I229" s="71"/>
      <c r="J229" s="10"/>
      <c r="K229" s="10"/>
      <c r="L229" s="71"/>
      <c r="M229" s="8"/>
      <c r="N229" s="8"/>
      <c r="O229" s="8"/>
      <c r="P229" s="8"/>
      <c r="Q229" s="8"/>
      <c r="R229" s="8"/>
      <c r="S229" s="8"/>
      <c r="T229" s="8"/>
      <c r="U229" s="8"/>
      <c r="V229" s="8"/>
      <c r="W229" s="8"/>
      <c r="X229" s="8"/>
      <c r="Y229" s="8"/>
    </row>
    <row r="230" spans="1:25" ht="15.75" customHeight="1" x14ac:dyDescent="0.25">
      <c r="A230" s="8"/>
      <c r="B230" s="8"/>
      <c r="C230" s="63"/>
      <c r="D230" s="8"/>
      <c r="E230" s="71"/>
      <c r="F230" s="8"/>
      <c r="G230" s="63"/>
      <c r="H230" s="8"/>
      <c r="I230" s="71"/>
      <c r="J230" s="10"/>
      <c r="K230" s="10"/>
      <c r="L230" s="71"/>
      <c r="M230" s="8"/>
      <c r="N230" s="8"/>
      <c r="O230" s="8"/>
      <c r="P230" s="8"/>
      <c r="Q230" s="8"/>
      <c r="R230" s="8"/>
      <c r="S230" s="8"/>
      <c r="T230" s="8"/>
      <c r="U230" s="8"/>
      <c r="V230" s="8"/>
      <c r="W230" s="8"/>
      <c r="X230" s="8"/>
      <c r="Y230" s="8"/>
    </row>
    <row r="231" spans="1:25" ht="15.75" customHeight="1" x14ac:dyDescent="0.25">
      <c r="A231" s="8"/>
      <c r="B231" s="8"/>
      <c r="C231" s="63"/>
      <c r="D231" s="8"/>
      <c r="E231" s="71"/>
      <c r="F231" s="8"/>
      <c r="G231" s="63"/>
      <c r="H231" s="8"/>
      <c r="I231" s="71"/>
      <c r="J231" s="10"/>
      <c r="K231" s="10"/>
      <c r="L231" s="71"/>
      <c r="M231" s="8"/>
      <c r="N231" s="8"/>
      <c r="O231" s="8"/>
      <c r="P231" s="8"/>
      <c r="Q231" s="8"/>
      <c r="R231" s="8"/>
      <c r="S231" s="8"/>
      <c r="T231" s="8"/>
      <c r="U231" s="8"/>
      <c r="V231" s="8"/>
      <c r="W231" s="8"/>
      <c r="X231" s="8"/>
      <c r="Y231" s="8"/>
    </row>
    <row r="232" spans="1:25" ht="15.75" customHeight="1" x14ac:dyDescent="0.25">
      <c r="A232" s="8"/>
      <c r="B232" s="8"/>
      <c r="C232" s="63"/>
      <c r="D232" s="8"/>
      <c r="E232" s="71"/>
      <c r="F232" s="8"/>
      <c r="G232" s="63"/>
      <c r="H232" s="8"/>
      <c r="I232" s="71"/>
      <c r="J232" s="10"/>
      <c r="K232" s="10"/>
      <c r="L232" s="71"/>
      <c r="M232" s="8"/>
      <c r="N232" s="8"/>
      <c r="O232" s="8"/>
      <c r="P232" s="8"/>
      <c r="Q232" s="8"/>
      <c r="R232" s="8"/>
      <c r="S232" s="8"/>
      <c r="T232" s="8"/>
      <c r="U232" s="8"/>
      <c r="V232" s="8"/>
      <c r="W232" s="8"/>
      <c r="X232" s="8"/>
      <c r="Y232" s="8"/>
    </row>
    <row r="233" spans="1:25" ht="15.75" customHeight="1" x14ac:dyDescent="0.25">
      <c r="A233" s="8"/>
      <c r="B233" s="8"/>
      <c r="C233" s="63"/>
      <c r="D233" s="8"/>
      <c r="E233" s="71"/>
      <c r="F233" s="8"/>
      <c r="G233" s="63"/>
      <c r="H233" s="8"/>
      <c r="I233" s="71"/>
      <c r="J233" s="10"/>
      <c r="K233" s="10"/>
      <c r="L233" s="71"/>
      <c r="M233" s="8"/>
      <c r="N233" s="8"/>
      <c r="O233" s="8"/>
      <c r="P233" s="8"/>
      <c r="Q233" s="8"/>
      <c r="R233" s="8"/>
      <c r="S233" s="8"/>
      <c r="T233" s="8"/>
      <c r="U233" s="8"/>
      <c r="V233" s="8"/>
      <c r="W233" s="8"/>
      <c r="X233" s="8"/>
      <c r="Y233" s="8"/>
    </row>
    <row r="234" spans="1:25" ht="15.75" customHeight="1" x14ac:dyDescent="0.25">
      <c r="A234" s="8"/>
      <c r="B234" s="8"/>
      <c r="C234" s="63"/>
      <c r="D234" s="8"/>
      <c r="E234" s="71"/>
      <c r="F234" s="8"/>
      <c r="G234" s="63"/>
      <c r="H234" s="8"/>
      <c r="I234" s="71"/>
      <c r="J234" s="10"/>
      <c r="K234" s="10"/>
      <c r="L234" s="71"/>
      <c r="M234" s="8"/>
      <c r="N234" s="8"/>
      <c r="O234" s="8"/>
      <c r="P234" s="8"/>
      <c r="Q234" s="8"/>
      <c r="R234" s="8"/>
      <c r="S234" s="8"/>
      <c r="T234" s="8"/>
      <c r="U234" s="8"/>
      <c r="V234" s="8"/>
      <c r="W234" s="8"/>
      <c r="X234" s="8"/>
      <c r="Y234" s="8"/>
    </row>
    <row r="235" spans="1:25" ht="15.75" customHeight="1" x14ac:dyDescent="0.25">
      <c r="A235" s="8"/>
      <c r="B235" s="8"/>
      <c r="C235" s="63"/>
      <c r="D235" s="8"/>
      <c r="E235" s="71"/>
      <c r="F235" s="8"/>
      <c r="G235" s="63"/>
      <c r="H235" s="8"/>
      <c r="I235" s="71"/>
      <c r="J235" s="10"/>
      <c r="K235" s="10"/>
      <c r="L235" s="71"/>
      <c r="M235" s="8"/>
      <c r="N235" s="8"/>
      <c r="O235" s="8"/>
      <c r="P235" s="8"/>
      <c r="Q235" s="8"/>
      <c r="R235" s="8"/>
      <c r="S235" s="8"/>
      <c r="T235" s="8"/>
      <c r="U235" s="8"/>
      <c r="V235" s="8"/>
      <c r="W235" s="8"/>
      <c r="X235" s="8"/>
      <c r="Y235" s="8"/>
    </row>
    <row r="236" spans="1:25" ht="15.75" customHeight="1" x14ac:dyDescent="0.25">
      <c r="A236" s="8"/>
      <c r="B236" s="8"/>
      <c r="C236" s="63"/>
      <c r="D236" s="8"/>
      <c r="E236" s="71"/>
      <c r="F236" s="8"/>
      <c r="G236" s="63"/>
      <c r="H236" s="8"/>
      <c r="I236" s="71"/>
      <c r="J236" s="10"/>
      <c r="K236" s="10"/>
      <c r="L236" s="71"/>
      <c r="M236" s="8"/>
      <c r="N236" s="8"/>
      <c r="O236" s="8"/>
      <c r="P236" s="8"/>
      <c r="Q236" s="8"/>
      <c r="R236" s="8"/>
      <c r="S236" s="8"/>
      <c r="T236" s="8"/>
      <c r="U236" s="8"/>
      <c r="V236" s="8"/>
      <c r="W236" s="8"/>
      <c r="X236" s="8"/>
      <c r="Y236" s="8"/>
    </row>
    <row r="237" spans="1:25" ht="15.75" customHeight="1" x14ac:dyDescent="0.25">
      <c r="A237" s="8"/>
      <c r="B237" s="8"/>
      <c r="C237" s="63"/>
      <c r="D237" s="8"/>
      <c r="E237" s="71"/>
      <c r="F237" s="8"/>
      <c r="G237" s="63"/>
      <c r="H237" s="8"/>
      <c r="I237" s="71"/>
      <c r="J237" s="10"/>
      <c r="K237" s="10"/>
      <c r="L237" s="71"/>
      <c r="M237" s="8"/>
      <c r="N237" s="8"/>
      <c r="O237" s="8"/>
      <c r="P237" s="8"/>
      <c r="Q237" s="8"/>
      <c r="R237" s="8"/>
      <c r="S237" s="8"/>
      <c r="T237" s="8"/>
      <c r="U237" s="8"/>
      <c r="V237" s="8"/>
      <c r="W237" s="8"/>
      <c r="X237" s="8"/>
      <c r="Y237" s="8"/>
    </row>
    <row r="238" spans="1:25" ht="15.75" customHeight="1" x14ac:dyDescent="0.25">
      <c r="A238" s="8"/>
      <c r="B238" s="8"/>
      <c r="C238" s="63"/>
      <c r="D238" s="8"/>
      <c r="E238" s="71"/>
      <c r="F238" s="8"/>
      <c r="G238" s="63"/>
      <c r="H238" s="8"/>
      <c r="I238" s="71"/>
      <c r="J238" s="10"/>
      <c r="K238" s="10"/>
      <c r="L238" s="71"/>
      <c r="M238" s="8"/>
      <c r="N238" s="8"/>
      <c r="O238" s="8"/>
      <c r="P238" s="8"/>
      <c r="Q238" s="8"/>
      <c r="R238" s="8"/>
      <c r="S238" s="8"/>
      <c r="T238" s="8"/>
      <c r="U238" s="8"/>
      <c r="V238" s="8"/>
      <c r="W238" s="8"/>
      <c r="X238" s="8"/>
      <c r="Y238" s="8"/>
    </row>
    <row r="239" spans="1:25" ht="15.75" customHeight="1" x14ac:dyDescent="0.25">
      <c r="A239" s="8"/>
      <c r="B239" s="8"/>
      <c r="C239" s="63"/>
      <c r="D239" s="8"/>
      <c r="E239" s="71"/>
      <c r="F239" s="8"/>
      <c r="G239" s="63"/>
      <c r="H239" s="8"/>
      <c r="I239" s="71"/>
      <c r="J239" s="10"/>
      <c r="K239" s="10"/>
      <c r="L239" s="71"/>
      <c r="M239" s="8"/>
      <c r="N239" s="8"/>
      <c r="O239" s="8"/>
      <c r="P239" s="8"/>
      <c r="Q239" s="8"/>
      <c r="R239" s="8"/>
      <c r="S239" s="8"/>
      <c r="T239" s="8"/>
      <c r="U239" s="8"/>
      <c r="V239" s="8"/>
      <c r="W239" s="8"/>
      <c r="X239" s="8"/>
      <c r="Y239" s="8"/>
    </row>
    <row r="240" spans="1:25" ht="15.75" customHeight="1" x14ac:dyDescent="0.25">
      <c r="A240" s="8"/>
      <c r="B240" s="8"/>
      <c r="C240" s="63"/>
      <c r="D240" s="8"/>
      <c r="E240" s="71"/>
      <c r="F240" s="8"/>
      <c r="G240" s="63"/>
      <c r="H240" s="8"/>
      <c r="I240" s="71"/>
      <c r="J240" s="10"/>
      <c r="K240" s="10"/>
      <c r="L240" s="71"/>
      <c r="M240" s="8"/>
      <c r="N240" s="8"/>
      <c r="O240" s="8"/>
      <c r="P240" s="8"/>
      <c r="Q240" s="8"/>
      <c r="R240" s="8"/>
      <c r="S240" s="8"/>
      <c r="T240" s="8"/>
      <c r="U240" s="8"/>
      <c r="V240" s="8"/>
      <c r="W240" s="8"/>
      <c r="X240" s="8"/>
      <c r="Y240" s="8"/>
    </row>
    <row r="241" spans="1:25" ht="15.75" customHeight="1" x14ac:dyDescent="0.25">
      <c r="A241" s="8"/>
      <c r="B241" s="8"/>
      <c r="C241" s="63"/>
      <c r="D241" s="8"/>
      <c r="E241" s="71"/>
      <c r="F241" s="8"/>
      <c r="G241" s="63"/>
      <c r="H241" s="8"/>
      <c r="I241" s="71"/>
      <c r="J241" s="10"/>
      <c r="K241" s="10"/>
      <c r="L241" s="71"/>
      <c r="M241" s="8"/>
      <c r="N241" s="8"/>
      <c r="O241" s="8"/>
      <c r="P241" s="8"/>
      <c r="Q241" s="8"/>
      <c r="R241" s="8"/>
      <c r="S241" s="8"/>
      <c r="T241" s="8"/>
      <c r="U241" s="8"/>
      <c r="V241" s="8"/>
      <c r="W241" s="8"/>
      <c r="X241" s="8"/>
      <c r="Y241" s="8"/>
    </row>
    <row r="242" spans="1:25" ht="15.75" customHeight="1" x14ac:dyDescent="0.25">
      <c r="A242" s="8"/>
      <c r="B242" s="8"/>
      <c r="C242" s="63"/>
      <c r="D242" s="8"/>
      <c r="E242" s="71"/>
      <c r="F242" s="8"/>
      <c r="G242" s="63"/>
      <c r="H242" s="8"/>
      <c r="I242" s="71"/>
      <c r="J242" s="10"/>
      <c r="K242" s="10"/>
      <c r="L242" s="71"/>
      <c r="M242" s="8"/>
      <c r="N242" s="8"/>
      <c r="O242" s="8"/>
      <c r="P242" s="8"/>
      <c r="Q242" s="8"/>
      <c r="R242" s="8"/>
      <c r="S242" s="8"/>
      <c r="T242" s="8"/>
      <c r="U242" s="8"/>
      <c r="V242" s="8"/>
      <c r="W242" s="8"/>
      <c r="X242" s="8"/>
      <c r="Y242" s="8"/>
    </row>
    <row r="243" spans="1:25" ht="15.75" customHeight="1" x14ac:dyDescent="0.25">
      <c r="A243" s="8"/>
      <c r="B243" s="8"/>
      <c r="C243" s="63"/>
      <c r="D243" s="8"/>
      <c r="E243" s="71"/>
      <c r="F243" s="8"/>
      <c r="G243" s="63"/>
      <c r="H243" s="8"/>
      <c r="I243" s="71"/>
      <c r="J243" s="10"/>
      <c r="K243" s="10"/>
      <c r="L243" s="71"/>
      <c r="M243" s="8"/>
      <c r="N243" s="8"/>
      <c r="O243" s="8"/>
      <c r="P243" s="8"/>
      <c r="Q243" s="8"/>
      <c r="R243" s="8"/>
      <c r="S243" s="8"/>
      <c r="T243" s="8"/>
      <c r="U243" s="8"/>
      <c r="V243" s="8"/>
      <c r="W243" s="8"/>
      <c r="X243" s="8"/>
      <c r="Y243" s="8"/>
    </row>
    <row r="244" spans="1:25" ht="15.75" customHeight="1" x14ac:dyDescent="0.25">
      <c r="A244" s="8"/>
      <c r="B244" s="8"/>
      <c r="C244" s="63"/>
      <c r="D244" s="8"/>
      <c r="E244" s="71"/>
      <c r="F244" s="8"/>
      <c r="G244" s="63"/>
      <c r="H244" s="8"/>
      <c r="I244" s="71"/>
      <c r="J244" s="10"/>
      <c r="K244" s="10"/>
      <c r="L244" s="71"/>
      <c r="M244" s="8"/>
      <c r="N244" s="8"/>
      <c r="O244" s="8"/>
      <c r="P244" s="8"/>
      <c r="Q244" s="8"/>
      <c r="R244" s="8"/>
      <c r="S244" s="8"/>
      <c r="T244" s="8"/>
      <c r="U244" s="8"/>
      <c r="V244" s="8"/>
      <c r="W244" s="8"/>
      <c r="X244" s="8"/>
      <c r="Y244" s="8"/>
    </row>
    <row r="245" spans="1:25" ht="15.75" customHeight="1" x14ac:dyDescent="0.25">
      <c r="A245" s="8"/>
      <c r="B245" s="8"/>
      <c r="C245" s="63"/>
      <c r="D245" s="8"/>
      <c r="E245" s="71"/>
      <c r="F245" s="8"/>
      <c r="G245" s="63"/>
      <c r="H245" s="8"/>
      <c r="I245" s="71"/>
      <c r="J245" s="10"/>
      <c r="K245" s="10"/>
      <c r="L245" s="71"/>
      <c r="M245" s="8"/>
      <c r="N245" s="8"/>
      <c r="O245" s="8"/>
      <c r="P245" s="8"/>
      <c r="Q245" s="8"/>
      <c r="R245" s="8"/>
      <c r="S245" s="8"/>
      <c r="T245" s="8"/>
      <c r="U245" s="8"/>
      <c r="V245" s="8"/>
      <c r="W245" s="8"/>
      <c r="X245" s="8"/>
      <c r="Y245" s="8"/>
    </row>
    <row r="246" spans="1:25" ht="15.75" customHeight="1" x14ac:dyDescent="0.25">
      <c r="A246" s="8"/>
      <c r="B246" s="8"/>
      <c r="C246" s="63"/>
      <c r="D246" s="8"/>
      <c r="E246" s="71"/>
      <c r="F246" s="8"/>
      <c r="G246" s="63"/>
      <c r="H246" s="8"/>
      <c r="I246" s="71"/>
      <c r="J246" s="10"/>
      <c r="K246" s="10"/>
      <c r="L246" s="71"/>
      <c r="M246" s="8"/>
      <c r="N246" s="8"/>
      <c r="O246" s="8"/>
      <c r="P246" s="8"/>
      <c r="Q246" s="8"/>
      <c r="R246" s="8"/>
      <c r="S246" s="8"/>
      <c r="T246" s="8"/>
      <c r="U246" s="8"/>
      <c r="V246" s="8"/>
      <c r="W246" s="8"/>
      <c r="X246" s="8"/>
      <c r="Y246" s="8"/>
    </row>
    <row r="247" spans="1:25" ht="15.75" customHeight="1" x14ac:dyDescent="0.25">
      <c r="A247" s="8"/>
      <c r="B247" s="8"/>
      <c r="C247" s="63"/>
      <c r="D247" s="8"/>
      <c r="E247" s="71"/>
      <c r="F247" s="8"/>
      <c r="G247" s="63"/>
      <c r="H247" s="8"/>
      <c r="I247" s="71"/>
      <c r="J247" s="10"/>
      <c r="K247" s="10"/>
      <c r="L247" s="71"/>
      <c r="M247" s="8"/>
      <c r="N247" s="8"/>
      <c r="O247" s="8"/>
      <c r="P247" s="8"/>
      <c r="Q247" s="8"/>
      <c r="R247" s="8"/>
      <c r="S247" s="8"/>
      <c r="T247" s="8"/>
      <c r="U247" s="8"/>
      <c r="V247" s="8"/>
      <c r="W247" s="8"/>
      <c r="X247" s="8"/>
      <c r="Y247" s="8"/>
    </row>
    <row r="248" spans="1:25" ht="15.75" customHeight="1" x14ac:dyDescent="0.25">
      <c r="A248" s="8"/>
      <c r="B248" s="8"/>
      <c r="C248" s="63"/>
      <c r="D248" s="8"/>
      <c r="E248" s="71"/>
      <c r="F248" s="8"/>
      <c r="G248" s="63"/>
      <c r="H248" s="8"/>
      <c r="I248" s="71"/>
      <c r="J248" s="10"/>
      <c r="K248" s="10"/>
      <c r="L248" s="71"/>
      <c r="M248" s="8"/>
      <c r="N248" s="8"/>
      <c r="O248" s="8"/>
      <c r="P248" s="8"/>
      <c r="Q248" s="8"/>
      <c r="R248" s="8"/>
      <c r="S248" s="8"/>
      <c r="T248" s="8"/>
      <c r="U248" s="8"/>
      <c r="V248" s="8"/>
      <c r="W248" s="8"/>
      <c r="X248" s="8"/>
      <c r="Y248" s="8"/>
    </row>
    <row r="249" spans="1:25" ht="15.75" customHeight="1" x14ac:dyDescent="0.25">
      <c r="A249" s="8"/>
      <c r="B249" s="8"/>
      <c r="C249" s="63"/>
      <c r="D249" s="8"/>
      <c r="E249" s="71"/>
      <c r="F249" s="8"/>
      <c r="G249" s="63"/>
      <c r="H249" s="8"/>
      <c r="I249" s="71"/>
      <c r="J249" s="10"/>
      <c r="K249" s="10"/>
      <c r="L249" s="71"/>
      <c r="M249" s="8"/>
      <c r="N249" s="8"/>
      <c r="O249" s="8"/>
      <c r="P249" s="8"/>
      <c r="Q249" s="8"/>
      <c r="R249" s="8"/>
      <c r="S249" s="8"/>
      <c r="T249" s="8"/>
      <c r="U249" s="8"/>
      <c r="V249" s="8"/>
      <c r="W249" s="8"/>
      <c r="X249" s="8"/>
      <c r="Y249" s="8"/>
    </row>
    <row r="250" spans="1:25" ht="15.75" customHeight="1" x14ac:dyDescent="0.25">
      <c r="A250" s="8"/>
      <c r="B250" s="8"/>
      <c r="C250" s="63"/>
      <c r="D250" s="8"/>
      <c r="E250" s="71"/>
      <c r="F250" s="8"/>
      <c r="G250" s="63"/>
      <c r="H250" s="8"/>
      <c r="I250" s="71"/>
      <c r="J250" s="10"/>
      <c r="K250" s="10"/>
      <c r="L250" s="71"/>
      <c r="M250" s="8"/>
      <c r="N250" s="8"/>
      <c r="O250" s="8"/>
      <c r="P250" s="8"/>
      <c r="Q250" s="8"/>
      <c r="R250" s="8"/>
      <c r="S250" s="8"/>
      <c r="T250" s="8"/>
      <c r="U250" s="8"/>
      <c r="V250" s="8"/>
      <c r="W250" s="8"/>
      <c r="X250" s="8"/>
      <c r="Y250" s="8"/>
    </row>
    <row r="251" spans="1:25" ht="15.75" customHeight="1" x14ac:dyDescent="0.25">
      <c r="A251" s="8"/>
      <c r="B251" s="8"/>
      <c r="C251" s="63"/>
      <c r="D251" s="8"/>
      <c r="E251" s="71"/>
      <c r="F251" s="8"/>
      <c r="G251" s="63"/>
      <c r="H251" s="8"/>
      <c r="I251" s="71"/>
      <c r="J251" s="10"/>
      <c r="K251" s="10"/>
      <c r="L251" s="71"/>
      <c r="M251" s="8"/>
      <c r="N251" s="8"/>
      <c r="O251" s="8"/>
      <c r="P251" s="8"/>
      <c r="Q251" s="8"/>
      <c r="R251" s="8"/>
      <c r="S251" s="8"/>
      <c r="T251" s="8"/>
      <c r="U251" s="8"/>
      <c r="V251" s="8"/>
      <c r="W251" s="8"/>
      <c r="X251" s="8"/>
      <c r="Y251" s="8"/>
    </row>
    <row r="252" spans="1:25" ht="15.75" customHeight="1" x14ac:dyDescent="0.25">
      <c r="A252" s="8"/>
      <c r="B252" s="8"/>
      <c r="C252" s="63"/>
      <c r="D252" s="8"/>
      <c r="E252" s="71"/>
      <c r="F252" s="8"/>
      <c r="G252" s="63"/>
      <c r="H252" s="8"/>
      <c r="I252" s="71"/>
      <c r="J252" s="10"/>
      <c r="K252" s="10"/>
      <c r="L252" s="71"/>
      <c r="M252" s="8"/>
      <c r="N252" s="8"/>
      <c r="O252" s="8"/>
      <c r="P252" s="8"/>
      <c r="Q252" s="8"/>
      <c r="R252" s="8"/>
      <c r="S252" s="8"/>
      <c r="T252" s="8"/>
      <c r="U252" s="8"/>
      <c r="V252" s="8"/>
      <c r="W252" s="8"/>
      <c r="X252" s="8"/>
      <c r="Y252" s="8"/>
    </row>
    <row r="253" spans="1:25" ht="15.75" customHeight="1" x14ac:dyDescent="0.25">
      <c r="A253" s="8"/>
      <c r="B253" s="8"/>
      <c r="C253" s="63"/>
      <c r="D253" s="8"/>
      <c r="E253" s="71"/>
      <c r="F253" s="8"/>
      <c r="G253" s="63"/>
      <c r="H253" s="8"/>
      <c r="I253" s="71"/>
      <c r="J253" s="10"/>
      <c r="K253" s="10"/>
      <c r="L253" s="71"/>
      <c r="M253" s="8"/>
      <c r="N253" s="8"/>
      <c r="O253" s="8"/>
      <c r="P253" s="8"/>
      <c r="Q253" s="8"/>
      <c r="R253" s="8"/>
      <c r="S253" s="8"/>
      <c r="T253" s="8"/>
      <c r="U253" s="8"/>
      <c r="V253" s="8"/>
      <c r="W253" s="8"/>
      <c r="X253" s="8"/>
      <c r="Y253" s="8"/>
    </row>
    <row r="254" spans="1:25" ht="15.75" customHeight="1" x14ac:dyDescent="0.25">
      <c r="A254" s="8"/>
      <c r="B254" s="8"/>
      <c r="C254" s="63"/>
      <c r="D254" s="8"/>
      <c r="E254" s="71"/>
      <c r="F254" s="8"/>
      <c r="G254" s="63"/>
      <c r="H254" s="8"/>
      <c r="I254" s="71"/>
      <c r="J254" s="10"/>
      <c r="K254" s="10"/>
      <c r="L254" s="71"/>
      <c r="M254" s="8"/>
      <c r="N254" s="8"/>
      <c r="O254" s="8"/>
      <c r="P254" s="8"/>
      <c r="Q254" s="8"/>
      <c r="R254" s="8"/>
      <c r="S254" s="8"/>
      <c r="T254" s="8"/>
      <c r="U254" s="8"/>
      <c r="V254" s="8"/>
      <c r="W254" s="8"/>
      <c r="X254" s="8"/>
      <c r="Y254" s="8"/>
    </row>
    <row r="255" spans="1:25" ht="15.75" customHeight="1" x14ac:dyDescent="0.25">
      <c r="A255" s="8"/>
      <c r="B255" s="8"/>
      <c r="C255" s="63"/>
      <c r="D255" s="8"/>
      <c r="E255" s="71"/>
      <c r="F255" s="8"/>
      <c r="G255" s="63"/>
      <c r="H255" s="8"/>
      <c r="I255" s="71"/>
      <c r="J255" s="10"/>
      <c r="K255" s="10"/>
      <c r="L255" s="71"/>
      <c r="M255" s="8"/>
      <c r="N255" s="8"/>
      <c r="O255" s="8"/>
      <c r="P255" s="8"/>
      <c r="Q255" s="8"/>
      <c r="R255" s="8"/>
      <c r="S255" s="8"/>
      <c r="T255" s="8"/>
      <c r="U255" s="8"/>
      <c r="V255" s="8"/>
      <c r="W255" s="8"/>
      <c r="X255" s="8"/>
      <c r="Y255" s="8"/>
    </row>
    <row r="256" spans="1:25" ht="15.75" customHeight="1" x14ac:dyDescent="0.25">
      <c r="A256" s="8"/>
      <c r="B256" s="8"/>
      <c r="C256" s="63"/>
      <c r="D256" s="8"/>
      <c r="E256" s="71"/>
      <c r="F256" s="8"/>
      <c r="G256" s="63"/>
      <c r="H256" s="8"/>
      <c r="I256" s="71"/>
      <c r="J256" s="10"/>
      <c r="K256" s="10"/>
      <c r="L256" s="71"/>
      <c r="M256" s="8"/>
      <c r="N256" s="8"/>
      <c r="O256" s="8"/>
      <c r="P256" s="8"/>
      <c r="Q256" s="8"/>
      <c r="R256" s="8"/>
      <c r="S256" s="8"/>
      <c r="T256" s="8"/>
      <c r="U256" s="8"/>
      <c r="V256" s="8"/>
      <c r="W256" s="8"/>
      <c r="X256" s="8"/>
      <c r="Y256" s="8"/>
    </row>
  </sheetData>
  <mergeCells count="4">
    <mergeCell ref="B2:L2"/>
    <mergeCell ref="C3:E3"/>
    <mergeCell ref="G3:I3"/>
    <mergeCell ref="O2:Y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60"/>
  <sheetViews>
    <sheetView workbookViewId="0">
      <selection activeCell="B14" sqref="B14"/>
    </sheetView>
  </sheetViews>
  <sheetFormatPr defaultRowHeight="15" x14ac:dyDescent="0.25"/>
  <cols>
    <col min="1" max="1" width="22.28515625" customWidth="1"/>
    <col min="2" max="2" width="54.85546875" bestFit="1" customWidth="1"/>
    <col min="3" max="3" width="15" style="7" bestFit="1" customWidth="1"/>
    <col min="4" max="4" width="12.140625" customWidth="1"/>
    <col min="5" max="5" width="31.85546875" customWidth="1"/>
  </cols>
  <sheetData>
    <row r="1" spans="1:26" x14ac:dyDescent="0.25">
      <c r="A1" s="5" t="s">
        <v>0</v>
      </c>
      <c r="B1" s="5" t="s">
        <v>10</v>
      </c>
      <c r="C1" s="6" t="s">
        <v>15</v>
      </c>
      <c r="D1" s="5" t="s">
        <v>11</v>
      </c>
      <c r="E1" s="5" t="s">
        <v>16</v>
      </c>
      <c r="F1" s="5"/>
      <c r="G1" s="5"/>
      <c r="H1" s="5"/>
      <c r="I1" s="5"/>
      <c r="J1" s="5"/>
      <c r="K1" s="5"/>
      <c r="P1" t="s">
        <v>12</v>
      </c>
      <c r="X1" t="s">
        <v>13</v>
      </c>
      <c r="Z1" t="s">
        <v>14</v>
      </c>
    </row>
    <row r="2" spans="1:26" x14ac:dyDescent="0.25">
      <c r="A2" t="s">
        <v>369</v>
      </c>
      <c r="B2" t="s">
        <v>359</v>
      </c>
      <c r="C2" s="7">
        <v>42481</v>
      </c>
      <c r="D2" t="s">
        <v>365</v>
      </c>
    </row>
    <row r="4" spans="1:26" x14ac:dyDescent="0.25">
      <c r="N4" s="4" t="s">
        <v>17</v>
      </c>
    </row>
    <row r="11" spans="1:26" x14ac:dyDescent="0.25">
      <c r="A11" s="3"/>
    </row>
    <row r="60" spans="2:4" x14ac:dyDescent="0.25">
      <c r="B60" s="11"/>
      <c r="D60" s="7"/>
    </row>
  </sheetData>
  <autoFilter ref="A1:E53"/>
  <sortState ref="A2:H57">
    <sortCondition ref="A2:A57"/>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319"/>
  <sheetViews>
    <sheetView topLeftCell="B1" zoomScaleNormal="100" workbookViewId="0">
      <pane ySplit="1" topLeftCell="A2" activePane="bottomLeft" state="frozen"/>
      <selection pane="bottomLeft" activeCell="B320" sqref="B320"/>
    </sheetView>
  </sheetViews>
  <sheetFormatPr defaultRowHeight="15" x14ac:dyDescent="0.25"/>
  <cols>
    <col min="2" max="2" width="12.7109375" style="3" bestFit="1" customWidth="1"/>
    <col min="3" max="3" width="34.5703125" bestFit="1" customWidth="1"/>
    <col min="4" max="4" width="12.7109375" style="10" customWidth="1"/>
    <col min="5" max="5" width="26.42578125" bestFit="1" customWidth="1"/>
    <col min="6" max="6" width="6.5703125" bestFit="1" customWidth="1"/>
    <col min="9" max="9" width="11.28515625" bestFit="1" customWidth="1"/>
    <col min="13" max="13" width="14.5703125" bestFit="1" customWidth="1"/>
    <col min="14" max="14" width="16.5703125" bestFit="1" customWidth="1"/>
    <col min="15" max="15" width="16.5703125" customWidth="1"/>
    <col min="17" max="17" width="13.5703125" style="46" bestFit="1" customWidth="1"/>
    <col min="18" max="18" width="5" bestFit="1" customWidth="1"/>
  </cols>
  <sheetData>
    <row r="1" spans="1:18" x14ac:dyDescent="0.25">
      <c r="A1" t="s">
        <v>1</v>
      </c>
      <c r="B1" s="3" t="s">
        <v>50</v>
      </c>
      <c r="C1" t="s">
        <v>49</v>
      </c>
      <c r="D1" s="10" t="s">
        <v>7</v>
      </c>
      <c r="E1" t="s">
        <v>6</v>
      </c>
      <c r="F1" t="s">
        <v>52</v>
      </c>
      <c r="G1" t="s">
        <v>2</v>
      </c>
      <c r="H1" t="s">
        <v>3</v>
      </c>
      <c r="I1" t="s">
        <v>363</v>
      </c>
      <c r="J1" t="s">
        <v>4</v>
      </c>
      <c r="K1" t="s">
        <v>5</v>
      </c>
      <c r="L1" t="s">
        <v>19</v>
      </c>
      <c r="M1" t="s">
        <v>8</v>
      </c>
      <c r="N1" t="s">
        <v>9</v>
      </c>
      <c r="O1" t="s">
        <v>362</v>
      </c>
      <c r="P1" t="s">
        <v>390</v>
      </c>
      <c r="Q1" s="46" t="s">
        <v>386</v>
      </c>
      <c r="R1" t="s">
        <v>18</v>
      </c>
    </row>
    <row r="2" spans="1:18" x14ac:dyDescent="0.25">
      <c r="A2">
        <v>1</v>
      </c>
      <c r="B2" t="s">
        <v>369</v>
      </c>
      <c r="C2" t="s">
        <v>359</v>
      </c>
      <c r="D2" s="7">
        <v>42481</v>
      </c>
      <c r="E2" t="s">
        <v>100</v>
      </c>
      <c r="G2" t="str">
        <f>IF(Q2&gt;40,"NA",IF(O2&gt;=5,"Ref","Inf"))</f>
        <v>Ref</v>
      </c>
      <c r="H2">
        <v>43</v>
      </c>
      <c r="I2">
        <v>26</v>
      </c>
      <c r="J2">
        <f>H2-I2</f>
        <v>17</v>
      </c>
      <c r="K2">
        <f>H2+I2</f>
        <v>69</v>
      </c>
      <c r="L2">
        <f>I2/R2</f>
        <v>13</v>
      </c>
      <c r="M2" t="s">
        <v>360</v>
      </c>
      <c r="N2" t="s">
        <v>361</v>
      </c>
      <c r="O2">
        <v>5</v>
      </c>
      <c r="P2">
        <v>13</v>
      </c>
      <c r="Q2" s="46">
        <v>31</v>
      </c>
      <c r="R2">
        <v>2</v>
      </c>
    </row>
    <row r="3" spans="1:18" x14ac:dyDescent="0.25">
      <c r="A3">
        <v>2</v>
      </c>
      <c r="B3" t="s">
        <v>369</v>
      </c>
      <c r="C3" t="s">
        <v>359</v>
      </c>
      <c r="D3" s="7">
        <v>42481</v>
      </c>
      <c r="E3" t="s">
        <v>101</v>
      </c>
      <c r="G3" t="str">
        <f t="shared" ref="G3:G66" si="0">IF(Q3&gt;40,"NA",IF(O3&gt;=5,"Ref","Inf"))</f>
        <v>Ref</v>
      </c>
      <c r="H3">
        <v>2.9</v>
      </c>
      <c r="I3" s="1">
        <v>1.24</v>
      </c>
      <c r="J3">
        <f t="shared" ref="J3:J66" si="1">H3-I3</f>
        <v>1.66</v>
      </c>
      <c r="K3">
        <f t="shared" ref="K3:K66" si="2">H3+I3</f>
        <v>4.1399999999999997</v>
      </c>
      <c r="L3">
        <f t="shared" ref="L3:L66" si="3">I3/R3</f>
        <v>0.62</v>
      </c>
      <c r="M3" t="s">
        <v>360</v>
      </c>
      <c r="N3" t="s">
        <v>361</v>
      </c>
      <c r="O3">
        <v>6</v>
      </c>
      <c r="P3">
        <v>0.62</v>
      </c>
      <c r="Q3" s="46">
        <v>21</v>
      </c>
      <c r="R3">
        <v>2</v>
      </c>
    </row>
    <row r="4" spans="1:18" x14ac:dyDescent="0.25">
      <c r="A4">
        <v>3</v>
      </c>
      <c r="B4" t="s">
        <v>369</v>
      </c>
      <c r="C4" t="s">
        <v>359</v>
      </c>
      <c r="D4" s="7">
        <v>42481</v>
      </c>
      <c r="E4" t="s">
        <v>102</v>
      </c>
      <c r="G4" t="str">
        <f t="shared" si="0"/>
        <v>Ref</v>
      </c>
      <c r="H4">
        <v>4.7</v>
      </c>
      <c r="I4" s="1">
        <v>3</v>
      </c>
      <c r="J4">
        <f t="shared" si="1"/>
        <v>1.7000000000000002</v>
      </c>
      <c r="K4">
        <f t="shared" si="2"/>
        <v>7.7</v>
      </c>
      <c r="L4">
        <f t="shared" si="3"/>
        <v>1.5</v>
      </c>
      <c r="M4" t="s">
        <v>360</v>
      </c>
      <c r="N4" t="s">
        <v>361</v>
      </c>
      <c r="O4">
        <v>7</v>
      </c>
      <c r="P4">
        <v>1.5</v>
      </c>
      <c r="Q4" s="46">
        <v>31</v>
      </c>
      <c r="R4">
        <v>2</v>
      </c>
    </row>
    <row r="5" spans="1:18" x14ac:dyDescent="0.25">
      <c r="A5">
        <v>4</v>
      </c>
      <c r="B5" t="s">
        <v>369</v>
      </c>
      <c r="C5" t="s">
        <v>359</v>
      </c>
      <c r="D5" s="7">
        <v>42481</v>
      </c>
      <c r="E5" t="s">
        <v>103</v>
      </c>
      <c r="G5" t="str">
        <f t="shared" si="0"/>
        <v>Ref</v>
      </c>
      <c r="H5">
        <v>0.42</v>
      </c>
      <c r="I5">
        <v>0.112</v>
      </c>
      <c r="J5">
        <f t="shared" si="1"/>
        <v>0.308</v>
      </c>
      <c r="K5">
        <f t="shared" si="2"/>
        <v>0.53200000000000003</v>
      </c>
      <c r="L5">
        <f t="shared" si="3"/>
        <v>5.6000000000000001E-2</v>
      </c>
      <c r="M5" t="s">
        <v>360</v>
      </c>
      <c r="N5" t="s">
        <v>361</v>
      </c>
      <c r="O5">
        <v>7</v>
      </c>
      <c r="P5">
        <v>5.6000000000000001E-2</v>
      </c>
      <c r="Q5" s="46">
        <v>13</v>
      </c>
      <c r="R5">
        <v>2</v>
      </c>
    </row>
    <row r="6" spans="1:18" x14ac:dyDescent="0.25">
      <c r="A6">
        <v>5</v>
      </c>
      <c r="B6" t="s">
        <v>369</v>
      </c>
      <c r="C6" t="s">
        <v>359</v>
      </c>
      <c r="D6" s="7">
        <v>42481</v>
      </c>
      <c r="E6" t="s">
        <v>104</v>
      </c>
      <c r="G6" t="str">
        <f t="shared" si="0"/>
        <v>Ref</v>
      </c>
      <c r="H6">
        <v>1.5</v>
      </c>
      <c r="I6">
        <v>0.34</v>
      </c>
      <c r="J6">
        <f t="shared" si="1"/>
        <v>1.1599999999999999</v>
      </c>
      <c r="K6">
        <f t="shared" si="2"/>
        <v>1.84</v>
      </c>
      <c r="L6">
        <f t="shared" si="3"/>
        <v>0.17</v>
      </c>
      <c r="M6" t="s">
        <v>360</v>
      </c>
      <c r="N6" t="s">
        <v>361</v>
      </c>
      <c r="O6">
        <v>8</v>
      </c>
      <c r="P6">
        <v>0.17</v>
      </c>
      <c r="Q6" s="46">
        <v>11</v>
      </c>
      <c r="R6">
        <v>2</v>
      </c>
    </row>
    <row r="7" spans="1:18" x14ac:dyDescent="0.25">
      <c r="A7">
        <v>6</v>
      </c>
      <c r="B7" t="s">
        <v>369</v>
      </c>
      <c r="C7" t="s">
        <v>359</v>
      </c>
      <c r="D7" s="7">
        <v>42481</v>
      </c>
      <c r="E7" t="s">
        <v>105</v>
      </c>
      <c r="G7" t="str">
        <f t="shared" si="0"/>
        <v>Ref</v>
      </c>
      <c r="H7">
        <v>6.7999999999999996E-3</v>
      </c>
      <c r="I7">
        <v>3.0000000000000001E-3</v>
      </c>
      <c r="J7">
        <f t="shared" si="1"/>
        <v>3.7999999999999996E-3</v>
      </c>
      <c r="K7">
        <f t="shared" si="2"/>
        <v>9.7999999999999997E-3</v>
      </c>
      <c r="L7">
        <f t="shared" si="3"/>
        <v>1.5E-3</v>
      </c>
      <c r="M7" t="s">
        <v>360</v>
      </c>
      <c r="N7" t="s">
        <v>361</v>
      </c>
      <c r="O7">
        <v>5</v>
      </c>
      <c r="P7">
        <v>1.5E-3</v>
      </c>
      <c r="Q7" s="46">
        <v>23</v>
      </c>
      <c r="R7">
        <v>2</v>
      </c>
    </row>
    <row r="8" spans="1:18" x14ac:dyDescent="0.25">
      <c r="A8">
        <v>7</v>
      </c>
      <c r="B8" t="s">
        <v>369</v>
      </c>
      <c r="C8" t="s">
        <v>359</v>
      </c>
      <c r="D8" s="7">
        <v>42481</v>
      </c>
      <c r="E8" t="s">
        <v>106</v>
      </c>
      <c r="G8" t="str">
        <f t="shared" si="0"/>
        <v>Ref</v>
      </c>
      <c r="H8">
        <v>2.3999999999999998E-3</v>
      </c>
      <c r="I8">
        <v>1.2800000000000001E-3</v>
      </c>
      <c r="J8">
        <f t="shared" si="1"/>
        <v>1.1199999999999997E-3</v>
      </c>
      <c r="K8">
        <f t="shared" si="2"/>
        <v>3.6800000000000001E-3</v>
      </c>
      <c r="L8">
        <f t="shared" si="3"/>
        <v>6.4000000000000005E-4</v>
      </c>
      <c r="M8" t="s">
        <v>360</v>
      </c>
      <c r="N8" t="s">
        <v>361</v>
      </c>
      <c r="O8">
        <v>5</v>
      </c>
      <c r="P8">
        <v>6.4000000000000005E-4</v>
      </c>
      <c r="Q8" s="46">
        <v>27</v>
      </c>
      <c r="R8">
        <v>2</v>
      </c>
    </row>
    <row r="9" spans="1:18" x14ac:dyDescent="0.25">
      <c r="A9">
        <v>8</v>
      </c>
      <c r="B9" t="s">
        <v>369</v>
      </c>
      <c r="C9" t="s">
        <v>359</v>
      </c>
      <c r="D9" s="7">
        <v>42481</v>
      </c>
      <c r="E9" t="s">
        <v>107</v>
      </c>
      <c r="G9" t="str">
        <f t="shared" si="0"/>
        <v>Ref</v>
      </c>
      <c r="H9">
        <v>0.01</v>
      </c>
      <c r="I9">
        <v>2.6000000000000003E-3</v>
      </c>
      <c r="J9">
        <f t="shared" si="1"/>
        <v>7.4000000000000003E-3</v>
      </c>
      <c r="K9">
        <f t="shared" si="2"/>
        <v>1.26E-2</v>
      </c>
      <c r="L9">
        <f t="shared" si="3"/>
        <v>1.3000000000000002E-3</v>
      </c>
      <c r="M9" t="s">
        <v>360</v>
      </c>
      <c r="N9" t="s">
        <v>361</v>
      </c>
      <c r="O9">
        <v>5</v>
      </c>
      <c r="P9">
        <v>1.3000000000000002E-3</v>
      </c>
      <c r="Q9" s="46">
        <v>13</v>
      </c>
      <c r="R9">
        <v>2</v>
      </c>
    </row>
    <row r="10" spans="1:18" x14ac:dyDescent="0.25">
      <c r="A10">
        <v>9</v>
      </c>
      <c r="B10" t="s">
        <v>369</v>
      </c>
      <c r="C10" t="s">
        <v>359</v>
      </c>
      <c r="D10" s="7">
        <v>42481</v>
      </c>
      <c r="E10" t="s">
        <v>95</v>
      </c>
      <c r="G10" t="str">
        <f t="shared" si="0"/>
        <v>Ref</v>
      </c>
      <c r="H10">
        <v>0.83</v>
      </c>
      <c r="I10">
        <v>0.34</v>
      </c>
      <c r="J10">
        <f t="shared" si="1"/>
        <v>0.48999999999999994</v>
      </c>
      <c r="K10">
        <f t="shared" si="2"/>
        <v>1.17</v>
      </c>
      <c r="L10">
        <f t="shared" si="3"/>
        <v>0.17</v>
      </c>
      <c r="M10" t="s">
        <v>360</v>
      </c>
      <c r="N10" t="s">
        <v>361</v>
      </c>
      <c r="O10">
        <v>7</v>
      </c>
      <c r="P10">
        <v>0.17</v>
      </c>
      <c r="Q10" s="46">
        <v>20</v>
      </c>
      <c r="R10">
        <v>2</v>
      </c>
    </row>
    <row r="11" spans="1:18" x14ac:dyDescent="0.25">
      <c r="A11">
        <v>10</v>
      </c>
      <c r="B11" t="s">
        <v>369</v>
      </c>
      <c r="C11" t="s">
        <v>359</v>
      </c>
      <c r="D11" s="7">
        <v>42481</v>
      </c>
      <c r="E11" t="s">
        <v>96</v>
      </c>
      <c r="G11" t="str">
        <f t="shared" si="0"/>
        <v>Ref</v>
      </c>
      <c r="H11">
        <v>6.1</v>
      </c>
      <c r="I11">
        <v>4.8</v>
      </c>
      <c r="J11">
        <f t="shared" si="1"/>
        <v>1.2999999999999998</v>
      </c>
      <c r="K11">
        <f t="shared" si="2"/>
        <v>10.899999999999999</v>
      </c>
      <c r="L11">
        <f t="shared" si="3"/>
        <v>2.4</v>
      </c>
      <c r="M11" t="s">
        <v>360</v>
      </c>
      <c r="N11" t="s">
        <v>361</v>
      </c>
      <c r="O11">
        <v>16</v>
      </c>
      <c r="P11">
        <v>2.4</v>
      </c>
      <c r="Q11" s="46">
        <v>40</v>
      </c>
      <c r="R11">
        <v>2</v>
      </c>
    </row>
    <row r="12" spans="1:18" x14ac:dyDescent="0.25">
      <c r="A12">
        <v>11</v>
      </c>
      <c r="B12" t="s">
        <v>369</v>
      </c>
      <c r="C12" t="s">
        <v>359</v>
      </c>
      <c r="D12" s="7">
        <v>42481</v>
      </c>
      <c r="E12" t="s">
        <v>97</v>
      </c>
      <c r="G12" t="str">
        <f t="shared" si="0"/>
        <v>Ref</v>
      </c>
      <c r="H12">
        <v>6.2</v>
      </c>
      <c r="I12">
        <v>4.4000000000000004</v>
      </c>
      <c r="J12">
        <f t="shared" si="1"/>
        <v>1.7999999999999998</v>
      </c>
      <c r="K12">
        <f t="shared" si="2"/>
        <v>10.600000000000001</v>
      </c>
      <c r="L12">
        <f t="shared" si="3"/>
        <v>2.2000000000000002</v>
      </c>
      <c r="M12" t="s">
        <v>360</v>
      </c>
      <c r="N12" t="s">
        <v>361</v>
      </c>
      <c r="O12">
        <v>16</v>
      </c>
      <c r="P12">
        <v>2.2000000000000002</v>
      </c>
      <c r="Q12" s="46">
        <v>36</v>
      </c>
      <c r="R12">
        <v>2</v>
      </c>
    </row>
    <row r="13" spans="1:18" x14ac:dyDescent="0.25">
      <c r="A13">
        <v>12</v>
      </c>
      <c r="B13" t="s">
        <v>369</v>
      </c>
      <c r="C13" t="s">
        <v>359</v>
      </c>
      <c r="D13" s="7">
        <v>42481</v>
      </c>
      <c r="E13" t="s">
        <v>98</v>
      </c>
      <c r="G13" t="str">
        <f t="shared" si="0"/>
        <v>Ref</v>
      </c>
      <c r="H13">
        <v>8.4</v>
      </c>
      <c r="I13">
        <v>6.6</v>
      </c>
      <c r="J13">
        <f t="shared" si="1"/>
        <v>1.8000000000000007</v>
      </c>
      <c r="K13">
        <f t="shared" si="2"/>
        <v>15</v>
      </c>
      <c r="L13">
        <f t="shared" si="3"/>
        <v>3.3</v>
      </c>
      <c r="M13" t="s">
        <v>360</v>
      </c>
      <c r="N13" t="s">
        <v>361</v>
      </c>
      <c r="O13">
        <v>15</v>
      </c>
      <c r="P13">
        <v>3.3</v>
      </c>
      <c r="Q13" s="46">
        <v>39</v>
      </c>
      <c r="R13">
        <v>2</v>
      </c>
    </row>
    <row r="14" spans="1:18" x14ac:dyDescent="0.25">
      <c r="A14">
        <v>13</v>
      </c>
      <c r="B14" t="s">
        <v>369</v>
      </c>
      <c r="C14" t="s">
        <v>359</v>
      </c>
      <c r="D14" s="7">
        <v>42481</v>
      </c>
      <c r="E14" t="s">
        <v>99</v>
      </c>
      <c r="G14" t="str">
        <f t="shared" si="0"/>
        <v>Ref</v>
      </c>
      <c r="H14">
        <v>2.8</v>
      </c>
      <c r="I14" s="1">
        <v>2</v>
      </c>
      <c r="J14">
        <f t="shared" si="1"/>
        <v>0.79999999999999982</v>
      </c>
      <c r="K14">
        <f t="shared" si="2"/>
        <v>4.8</v>
      </c>
      <c r="L14">
        <f t="shared" si="3"/>
        <v>1</v>
      </c>
      <c r="M14" t="s">
        <v>360</v>
      </c>
      <c r="N14" t="s">
        <v>361</v>
      </c>
      <c r="O14">
        <v>12</v>
      </c>
      <c r="P14">
        <v>1</v>
      </c>
      <c r="Q14" s="46">
        <v>38</v>
      </c>
      <c r="R14">
        <v>2</v>
      </c>
    </row>
    <row r="15" spans="1:18" x14ac:dyDescent="0.25">
      <c r="A15">
        <v>14</v>
      </c>
      <c r="B15" t="s">
        <v>369</v>
      </c>
      <c r="C15" t="s">
        <v>359</v>
      </c>
      <c r="D15" s="7">
        <v>42481</v>
      </c>
      <c r="E15" t="s">
        <v>264</v>
      </c>
      <c r="G15" t="str">
        <f t="shared" si="0"/>
        <v>Ref</v>
      </c>
      <c r="H15">
        <v>3.6</v>
      </c>
      <c r="I15">
        <v>2.6</v>
      </c>
      <c r="J15">
        <f t="shared" si="1"/>
        <v>1</v>
      </c>
      <c r="K15">
        <f t="shared" si="2"/>
        <v>6.2</v>
      </c>
      <c r="L15">
        <f t="shared" si="3"/>
        <v>1.3</v>
      </c>
      <c r="M15" t="s">
        <v>360</v>
      </c>
      <c r="N15" t="s">
        <v>361</v>
      </c>
      <c r="O15">
        <v>8</v>
      </c>
      <c r="P15">
        <v>1.3</v>
      </c>
      <c r="Q15" s="46">
        <v>37</v>
      </c>
      <c r="R15">
        <v>2</v>
      </c>
    </row>
    <row r="16" spans="1:18" x14ac:dyDescent="0.25">
      <c r="A16">
        <v>15</v>
      </c>
      <c r="B16" t="s">
        <v>369</v>
      </c>
      <c r="C16" t="s">
        <v>359</v>
      </c>
      <c r="D16" s="7">
        <v>42481</v>
      </c>
      <c r="E16" t="s">
        <v>265</v>
      </c>
      <c r="G16" t="str">
        <f t="shared" si="0"/>
        <v>Ref</v>
      </c>
      <c r="H16">
        <v>4.5</v>
      </c>
      <c r="I16">
        <v>2.4</v>
      </c>
      <c r="J16">
        <f t="shared" si="1"/>
        <v>2.1</v>
      </c>
      <c r="K16">
        <f t="shared" si="2"/>
        <v>6.9</v>
      </c>
      <c r="L16">
        <f t="shared" si="3"/>
        <v>1.2</v>
      </c>
      <c r="M16" t="s">
        <v>360</v>
      </c>
      <c r="N16" t="s">
        <v>361</v>
      </c>
      <c r="O16">
        <v>10</v>
      </c>
      <c r="P16">
        <v>1.2</v>
      </c>
      <c r="Q16" s="46">
        <v>26</v>
      </c>
      <c r="R16">
        <v>2</v>
      </c>
    </row>
    <row r="17" spans="1:18" x14ac:dyDescent="0.25">
      <c r="A17">
        <v>16</v>
      </c>
      <c r="B17" t="s">
        <v>369</v>
      </c>
      <c r="C17" t="s">
        <v>359</v>
      </c>
      <c r="D17" s="7">
        <v>42481</v>
      </c>
      <c r="E17" t="s">
        <v>266</v>
      </c>
      <c r="G17" t="str">
        <f t="shared" si="0"/>
        <v>Ref</v>
      </c>
      <c r="H17">
        <v>13</v>
      </c>
      <c r="I17">
        <v>6.4</v>
      </c>
      <c r="J17">
        <f t="shared" si="1"/>
        <v>6.6</v>
      </c>
      <c r="K17">
        <f t="shared" si="2"/>
        <v>19.399999999999999</v>
      </c>
      <c r="L17">
        <f t="shared" si="3"/>
        <v>3.2</v>
      </c>
      <c r="M17" t="s">
        <v>360</v>
      </c>
      <c r="N17" t="s">
        <v>361</v>
      </c>
      <c r="O17">
        <v>16</v>
      </c>
      <c r="P17">
        <v>3.2</v>
      </c>
      <c r="Q17" s="46">
        <v>24</v>
      </c>
      <c r="R17">
        <v>2</v>
      </c>
    </row>
    <row r="18" spans="1:18" x14ac:dyDescent="0.25">
      <c r="A18">
        <v>17</v>
      </c>
      <c r="B18" t="s">
        <v>369</v>
      </c>
      <c r="C18" t="s">
        <v>359</v>
      </c>
      <c r="D18" s="7">
        <v>42481</v>
      </c>
      <c r="E18" t="s">
        <v>267</v>
      </c>
      <c r="G18" t="str">
        <f t="shared" si="0"/>
        <v>Ref</v>
      </c>
      <c r="H18">
        <v>16</v>
      </c>
      <c r="I18">
        <v>5.6</v>
      </c>
      <c r="J18">
        <f t="shared" si="1"/>
        <v>10.4</v>
      </c>
      <c r="K18">
        <f t="shared" si="2"/>
        <v>21.6</v>
      </c>
      <c r="L18">
        <f t="shared" si="3"/>
        <v>2.8</v>
      </c>
      <c r="M18" t="s">
        <v>360</v>
      </c>
      <c r="N18" t="s">
        <v>361</v>
      </c>
      <c r="O18">
        <v>15</v>
      </c>
      <c r="P18">
        <v>2.8</v>
      </c>
      <c r="Q18" s="46">
        <v>18</v>
      </c>
      <c r="R18">
        <v>2</v>
      </c>
    </row>
    <row r="19" spans="1:18" x14ac:dyDescent="0.25">
      <c r="A19">
        <v>18</v>
      </c>
      <c r="B19" t="s">
        <v>369</v>
      </c>
      <c r="C19" t="s">
        <v>359</v>
      </c>
      <c r="D19" s="7">
        <v>42481</v>
      </c>
      <c r="E19" t="s">
        <v>268</v>
      </c>
      <c r="G19" t="str">
        <f t="shared" si="0"/>
        <v>Ref</v>
      </c>
      <c r="H19">
        <v>1.3</v>
      </c>
      <c r="I19">
        <v>0.46</v>
      </c>
      <c r="J19">
        <f t="shared" si="1"/>
        <v>0.84000000000000008</v>
      </c>
      <c r="K19">
        <f t="shared" si="2"/>
        <v>1.76</v>
      </c>
      <c r="L19">
        <f t="shared" si="3"/>
        <v>0.23</v>
      </c>
      <c r="M19" t="s">
        <v>360</v>
      </c>
      <c r="N19" t="s">
        <v>361</v>
      </c>
      <c r="O19">
        <v>5</v>
      </c>
      <c r="P19">
        <v>0.23</v>
      </c>
      <c r="Q19" s="46">
        <v>18</v>
      </c>
      <c r="R19">
        <v>2</v>
      </c>
    </row>
    <row r="20" spans="1:18" x14ac:dyDescent="0.25">
      <c r="A20">
        <v>19</v>
      </c>
      <c r="B20" t="s">
        <v>369</v>
      </c>
      <c r="C20" t="s">
        <v>359</v>
      </c>
      <c r="D20" s="7">
        <v>42481</v>
      </c>
      <c r="E20" t="s">
        <v>269</v>
      </c>
      <c r="G20" t="str">
        <f t="shared" si="0"/>
        <v>Ref</v>
      </c>
      <c r="H20" s="1">
        <v>2</v>
      </c>
      <c r="I20">
        <v>0.84</v>
      </c>
      <c r="J20">
        <f t="shared" si="1"/>
        <v>1.1600000000000001</v>
      </c>
      <c r="K20">
        <f t="shared" si="2"/>
        <v>2.84</v>
      </c>
      <c r="L20">
        <f t="shared" si="3"/>
        <v>0.42</v>
      </c>
      <c r="M20" t="s">
        <v>360</v>
      </c>
      <c r="N20" t="s">
        <v>361</v>
      </c>
      <c r="O20">
        <v>9</v>
      </c>
      <c r="P20">
        <v>0.42</v>
      </c>
      <c r="Q20" s="46">
        <v>21</v>
      </c>
      <c r="R20">
        <v>2</v>
      </c>
    </row>
    <row r="21" spans="1:18" x14ac:dyDescent="0.25">
      <c r="A21">
        <v>20</v>
      </c>
      <c r="B21" t="s">
        <v>369</v>
      </c>
      <c r="C21" t="s">
        <v>359</v>
      </c>
      <c r="D21" s="7">
        <v>42481</v>
      </c>
      <c r="E21" t="s">
        <v>270</v>
      </c>
      <c r="G21" t="str">
        <f t="shared" si="0"/>
        <v>Ref</v>
      </c>
      <c r="H21">
        <v>1.8</v>
      </c>
      <c r="I21">
        <v>1.1200000000000001</v>
      </c>
      <c r="J21">
        <f t="shared" si="1"/>
        <v>0.67999999999999994</v>
      </c>
      <c r="K21">
        <f t="shared" si="2"/>
        <v>2.92</v>
      </c>
      <c r="L21">
        <f t="shared" si="3"/>
        <v>0.56000000000000005</v>
      </c>
      <c r="M21" t="s">
        <v>360</v>
      </c>
      <c r="N21" t="s">
        <v>361</v>
      </c>
      <c r="O21">
        <v>6</v>
      </c>
      <c r="P21">
        <v>0.56000000000000005</v>
      </c>
      <c r="Q21" s="46">
        <v>31</v>
      </c>
      <c r="R21">
        <v>2</v>
      </c>
    </row>
    <row r="22" spans="1:18" x14ac:dyDescent="0.25">
      <c r="A22">
        <v>21</v>
      </c>
      <c r="B22" t="s">
        <v>369</v>
      </c>
      <c r="C22" t="s">
        <v>359</v>
      </c>
      <c r="D22" s="7">
        <v>42481</v>
      </c>
      <c r="E22" t="s">
        <v>271</v>
      </c>
      <c r="G22" t="str">
        <f t="shared" si="0"/>
        <v>Ref</v>
      </c>
      <c r="H22">
        <v>3.8</v>
      </c>
      <c r="I22">
        <v>1.66</v>
      </c>
      <c r="J22">
        <f t="shared" si="1"/>
        <v>2.1399999999999997</v>
      </c>
      <c r="K22">
        <f t="shared" si="2"/>
        <v>5.46</v>
      </c>
      <c r="L22">
        <f t="shared" si="3"/>
        <v>0.83</v>
      </c>
      <c r="M22" t="s">
        <v>360</v>
      </c>
      <c r="N22" t="s">
        <v>361</v>
      </c>
      <c r="O22">
        <v>11</v>
      </c>
      <c r="P22">
        <v>0.83</v>
      </c>
      <c r="Q22" s="46">
        <v>22</v>
      </c>
      <c r="R22">
        <v>2</v>
      </c>
    </row>
    <row r="23" spans="1:18" x14ac:dyDescent="0.25">
      <c r="A23">
        <v>22</v>
      </c>
      <c r="B23" t="s">
        <v>369</v>
      </c>
      <c r="C23" t="s">
        <v>359</v>
      </c>
      <c r="D23" s="7">
        <v>42481</v>
      </c>
      <c r="E23" t="s">
        <v>272</v>
      </c>
      <c r="G23" t="str">
        <f t="shared" si="0"/>
        <v>Ref</v>
      </c>
      <c r="H23">
        <v>38</v>
      </c>
      <c r="I23">
        <v>20</v>
      </c>
      <c r="J23">
        <f t="shared" si="1"/>
        <v>18</v>
      </c>
      <c r="K23">
        <f t="shared" si="2"/>
        <v>58</v>
      </c>
      <c r="L23">
        <f t="shared" si="3"/>
        <v>10</v>
      </c>
      <c r="M23" t="s">
        <v>360</v>
      </c>
      <c r="N23" t="s">
        <v>361</v>
      </c>
      <c r="O23">
        <v>14</v>
      </c>
      <c r="P23">
        <v>10</v>
      </c>
      <c r="Q23" s="46">
        <v>26</v>
      </c>
      <c r="R23">
        <v>2</v>
      </c>
    </row>
    <row r="24" spans="1:18" x14ac:dyDescent="0.25">
      <c r="A24">
        <v>23</v>
      </c>
      <c r="B24" t="s">
        <v>369</v>
      </c>
      <c r="C24" t="s">
        <v>359</v>
      </c>
      <c r="D24" s="7">
        <v>42481</v>
      </c>
      <c r="E24" t="s">
        <v>273</v>
      </c>
      <c r="G24" t="str">
        <f t="shared" si="0"/>
        <v>Ref</v>
      </c>
      <c r="H24">
        <v>47</v>
      </c>
      <c r="I24">
        <v>24</v>
      </c>
      <c r="J24">
        <f t="shared" si="1"/>
        <v>23</v>
      </c>
      <c r="K24">
        <f t="shared" si="2"/>
        <v>71</v>
      </c>
      <c r="L24">
        <f t="shared" si="3"/>
        <v>12</v>
      </c>
      <c r="M24" t="s">
        <v>360</v>
      </c>
      <c r="N24" t="s">
        <v>361</v>
      </c>
      <c r="O24">
        <v>15</v>
      </c>
      <c r="P24">
        <v>12</v>
      </c>
      <c r="Q24" s="46">
        <v>26</v>
      </c>
      <c r="R24">
        <v>2</v>
      </c>
    </row>
    <row r="25" spans="1:18" x14ac:dyDescent="0.25">
      <c r="A25">
        <v>24</v>
      </c>
      <c r="B25" t="s">
        <v>369</v>
      </c>
      <c r="C25" t="s">
        <v>359</v>
      </c>
      <c r="D25" s="7">
        <v>42481</v>
      </c>
      <c r="E25" t="s">
        <v>274</v>
      </c>
      <c r="G25" t="str">
        <f t="shared" si="0"/>
        <v>Ref</v>
      </c>
      <c r="H25">
        <v>23</v>
      </c>
      <c r="I25">
        <v>13.2</v>
      </c>
      <c r="J25">
        <f t="shared" si="1"/>
        <v>9.8000000000000007</v>
      </c>
      <c r="K25">
        <f t="shared" si="2"/>
        <v>36.200000000000003</v>
      </c>
      <c r="L25">
        <f t="shared" si="3"/>
        <v>6.6</v>
      </c>
      <c r="M25" t="s">
        <v>360</v>
      </c>
      <c r="N25" t="s">
        <v>361</v>
      </c>
      <c r="O25">
        <v>16</v>
      </c>
      <c r="P25">
        <v>6.6</v>
      </c>
      <c r="Q25" s="46">
        <v>29</v>
      </c>
      <c r="R25">
        <v>2</v>
      </c>
    </row>
    <row r="26" spans="1:18" x14ac:dyDescent="0.25">
      <c r="A26">
        <v>25</v>
      </c>
      <c r="B26" t="s">
        <v>369</v>
      </c>
      <c r="C26" t="s">
        <v>359</v>
      </c>
      <c r="D26" s="7">
        <v>42481</v>
      </c>
      <c r="E26" t="s">
        <v>275</v>
      </c>
      <c r="G26" t="str">
        <f t="shared" si="0"/>
        <v>Ref</v>
      </c>
      <c r="H26">
        <v>8.6999999999999993</v>
      </c>
      <c r="I26">
        <v>5.8</v>
      </c>
      <c r="J26">
        <f t="shared" si="1"/>
        <v>2.8999999999999995</v>
      </c>
      <c r="K26">
        <f t="shared" si="2"/>
        <v>14.5</v>
      </c>
      <c r="L26">
        <f t="shared" si="3"/>
        <v>2.9</v>
      </c>
      <c r="M26" t="s">
        <v>360</v>
      </c>
      <c r="N26" t="s">
        <v>361</v>
      </c>
      <c r="O26">
        <v>15</v>
      </c>
      <c r="P26">
        <v>2.9</v>
      </c>
      <c r="Q26" s="46">
        <v>34</v>
      </c>
      <c r="R26">
        <v>2</v>
      </c>
    </row>
    <row r="27" spans="1:18" x14ac:dyDescent="0.25">
      <c r="A27">
        <v>26</v>
      </c>
      <c r="B27" t="s">
        <v>369</v>
      </c>
      <c r="C27" t="s">
        <v>359</v>
      </c>
      <c r="D27" s="7">
        <v>42481</v>
      </c>
      <c r="E27" t="s">
        <v>276</v>
      </c>
      <c r="G27" t="str">
        <f t="shared" si="0"/>
        <v>Ref</v>
      </c>
      <c r="H27">
        <v>1.6</v>
      </c>
      <c r="I27">
        <v>1.28</v>
      </c>
      <c r="J27">
        <f t="shared" si="1"/>
        <v>0.32000000000000006</v>
      </c>
      <c r="K27">
        <f t="shared" si="2"/>
        <v>2.88</v>
      </c>
      <c r="L27">
        <f t="shared" si="3"/>
        <v>0.64</v>
      </c>
      <c r="M27" t="s">
        <v>360</v>
      </c>
      <c r="N27" t="s">
        <v>361</v>
      </c>
      <c r="O27">
        <v>7</v>
      </c>
      <c r="P27">
        <v>0.64</v>
      </c>
      <c r="Q27" s="46">
        <v>40</v>
      </c>
      <c r="R27">
        <v>2</v>
      </c>
    </row>
    <row r="28" spans="1:18" x14ac:dyDescent="0.25">
      <c r="A28">
        <v>27</v>
      </c>
      <c r="B28" t="s">
        <v>369</v>
      </c>
      <c r="C28" t="s">
        <v>359</v>
      </c>
      <c r="D28" s="7">
        <v>42481</v>
      </c>
      <c r="E28" t="s">
        <v>277</v>
      </c>
      <c r="G28" t="str">
        <f t="shared" si="0"/>
        <v>Ref</v>
      </c>
      <c r="H28">
        <v>1.8</v>
      </c>
      <c r="I28">
        <v>0.96</v>
      </c>
      <c r="J28">
        <f t="shared" si="1"/>
        <v>0.84000000000000008</v>
      </c>
      <c r="K28">
        <f t="shared" si="2"/>
        <v>2.76</v>
      </c>
      <c r="L28">
        <f t="shared" si="3"/>
        <v>0.48</v>
      </c>
      <c r="M28" t="s">
        <v>360</v>
      </c>
      <c r="N28" t="s">
        <v>361</v>
      </c>
      <c r="O28">
        <v>7</v>
      </c>
      <c r="P28">
        <v>0.48</v>
      </c>
      <c r="Q28" s="46">
        <v>27</v>
      </c>
      <c r="R28">
        <v>2</v>
      </c>
    </row>
    <row r="29" spans="1:18" x14ac:dyDescent="0.25">
      <c r="A29">
        <v>28</v>
      </c>
      <c r="B29" t="s">
        <v>369</v>
      </c>
      <c r="C29" t="s">
        <v>359</v>
      </c>
      <c r="D29" s="7">
        <v>42481</v>
      </c>
      <c r="E29" t="s">
        <v>278</v>
      </c>
      <c r="G29" t="str">
        <f t="shared" si="0"/>
        <v>Ref</v>
      </c>
      <c r="H29">
        <v>4.8</v>
      </c>
      <c r="I29">
        <v>2.2000000000000002</v>
      </c>
      <c r="J29">
        <f t="shared" si="1"/>
        <v>2.5999999999999996</v>
      </c>
      <c r="K29">
        <f t="shared" si="2"/>
        <v>7</v>
      </c>
      <c r="L29">
        <f t="shared" si="3"/>
        <v>1.1000000000000001</v>
      </c>
      <c r="M29" t="s">
        <v>360</v>
      </c>
      <c r="N29" t="s">
        <v>361</v>
      </c>
      <c r="O29">
        <v>8</v>
      </c>
      <c r="P29">
        <v>1.1000000000000001</v>
      </c>
      <c r="Q29" s="46">
        <v>22</v>
      </c>
      <c r="R29">
        <v>2</v>
      </c>
    </row>
    <row r="30" spans="1:18" x14ac:dyDescent="0.25">
      <c r="A30">
        <v>29</v>
      </c>
      <c r="B30" t="s">
        <v>369</v>
      </c>
      <c r="C30" t="s">
        <v>359</v>
      </c>
      <c r="D30" s="7">
        <v>42481</v>
      </c>
      <c r="E30" t="s">
        <v>279</v>
      </c>
      <c r="G30" t="str">
        <f t="shared" si="0"/>
        <v>Ref</v>
      </c>
      <c r="H30">
        <v>4.8</v>
      </c>
      <c r="I30">
        <v>3.8</v>
      </c>
      <c r="J30">
        <f t="shared" si="1"/>
        <v>1</v>
      </c>
      <c r="K30">
        <f t="shared" si="2"/>
        <v>8.6</v>
      </c>
      <c r="L30">
        <f t="shared" si="3"/>
        <v>1.9</v>
      </c>
      <c r="M30" t="s">
        <v>360</v>
      </c>
      <c r="N30" t="s">
        <v>361</v>
      </c>
      <c r="O30">
        <v>5</v>
      </c>
      <c r="P30">
        <v>1.9</v>
      </c>
      <c r="Q30" s="46">
        <v>39</v>
      </c>
      <c r="R30">
        <v>2</v>
      </c>
    </row>
    <row r="31" spans="1:18" x14ac:dyDescent="0.25">
      <c r="A31">
        <v>30</v>
      </c>
      <c r="B31" t="s">
        <v>369</v>
      </c>
      <c r="C31" t="s">
        <v>359</v>
      </c>
      <c r="D31" s="7">
        <v>42481</v>
      </c>
      <c r="E31" t="s">
        <v>280</v>
      </c>
      <c r="G31" t="str">
        <f t="shared" si="0"/>
        <v>Ref</v>
      </c>
      <c r="H31">
        <v>14</v>
      </c>
      <c r="I31">
        <v>5.8</v>
      </c>
      <c r="J31">
        <f t="shared" si="1"/>
        <v>8.1999999999999993</v>
      </c>
      <c r="K31">
        <f t="shared" si="2"/>
        <v>19.8</v>
      </c>
      <c r="L31">
        <f t="shared" si="3"/>
        <v>2.9</v>
      </c>
      <c r="M31" t="s">
        <v>360</v>
      </c>
      <c r="N31" t="s">
        <v>361</v>
      </c>
      <c r="O31">
        <v>11</v>
      </c>
      <c r="P31">
        <v>2.9</v>
      </c>
      <c r="Q31" s="46">
        <v>20</v>
      </c>
      <c r="R31">
        <v>2</v>
      </c>
    </row>
    <row r="32" spans="1:18" x14ac:dyDescent="0.25">
      <c r="A32">
        <v>31</v>
      </c>
      <c r="B32" t="s">
        <v>369</v>
      </c>
      <c r="C32" t="s">
        <v>359</v>
      </c>
      <c r="D32" s="7">
        <v>42481</v>
      </c>
      <c r="E32" t="s">
        <v>281</v>
      </c>
      <c r="G32" t="str">
        <f t="shared" si="0"/>
        <v>Ref</v>
      </c>
      <c r="H32">
        <v>44</v>
      </c>
      <c r="I32">
        <v>28</v>
      </c>
      <c r="J32">
        <f t="shared" si="1"/>
        <v>16</v>
      </c>
      <c r="K32">
        <f t="shared" si="2"/>
        <v>72</v>
      </c>
      <c r="L32">
        <f t="shared" si="3"/>
        <v>14</v>
      </c>
      <c r="M32" t="s">
        <v>360</v>
      </c>
      <c r="N32" t="s">
        <v>361</v>
      </c>
      <c r="O32">
        <v>16</v>
      </c>
      <c r="P32">
        <v>14</v>
      </c>
      <c r="Q32" s="46">
        <v>33</v>
      </c>
      <c r="R32">
        <v>2</v>
      </c>
    </row>
    <row r="33" spans="1:18" x14ac:dyDescent="0.25">
      <c r="A33">
        <v>32</v>
      </c>
      <c r="B33" t="s">
        <v>369</v>
      </c>
      <c r="C33" t="s">
        <v>359</v>
      </c>
      <c r="D33" s="7">
        <v>42481</v>
      </c>
      <c r="E33" t="s">
        <v>282</v>
      </c>
      <c r="G33" t="str">
        <f t="shared" si="0"/>
        <v>Ref</v>
      </c>
      <c r="H33">
        <v>100</v>
      </c>
      <c r="I33">
        <v>58</v>
      </c>
      <c r="J33">
        <f t="shared" si="1"/>
        <v>42</v>
      </c>
      <c r="K33">
        <f t="shared" si="2"/>
        <v>158</v>
      </c>
      <c r="L33">
        <f t="shared" si="3"/>
        <v>29</v>
      </c>
      <c r="M33" t="s">
        <v>360</v>
      </c>
      <c r="N33" t="s">
        <v>361</v>
      </c>
      <c r="O33">
        <v>16</v>
      </c>
      <c r="P33">
        <v>29</v>
      </c>
      <c r="Q33" s="46">
        <v>28</v>
      </c>
      <c r="R33">
        <v>2</v>
      </c>
    </row>
    <row r="34" spans="1:18" x14ac:dyDescent="0.25">
      <c r="A34">
        <v>33</v>
      </c>
      <c r="B34" t="s">
        <v>369</v>
      </c>
      <c r="C34" t="s">
        <v>359</v>
      </c>
      <c r="D34" s="7">
        <v>42481</v>
      </c>
      <c r="E34" t="s">
        <v>283</v>
      </c>
      <c r="G34" t="str">
        <f t="shared" si="0"/>
        <v>Ref</v>
      </c>
      <c r="H34">
        <v>48</v>
      </c>
      <c r="I34">
        <v>34</v>
      </c>
      <c r="J34">
        <f t="shared" si="1"/>
        <v>14</v>
      </c>
      <c r="K34">
        <f t="shared" si="2"/>
        <v>82</v>
      </c>
      <c r="L34">
        <f t="shared" si="3"/>
        <v>17</v>
      </c>
      <c r="M34" t="s">
        <v>360</v>
      </c>
      <c r="N34" t="s">
        <v>361</v>
      </c>
      <c r="O34">
        <v>15</v>
      </c>
      <c r="P34">
        <v>17</v>
      </c>
      <c r="Q34" s="46">
        <v>35</v>
      </c>
      <c r="R34">
        <v>2</v>
      </c>
    </row>
    <row r="35" spans="1:18" x14ac:dyDescent="0.25">
      <c r="A35">
        <v>34</v>
      </c>
      <c r="B35" t="s">
        <v>369</v>
      </c>
      <c r="C35" t="s">
        <v>359</v>
      </c>
      <c r="D35" s="7">
        <v>42481</v>
      </c>
      <c r="E35" t="s">
        <v>284</v>
      </c>
      <c r="G35" t="str">
        <f t="shared" si="0"/>
        <v>Ref</v>
      </c>
      <c r="H35">
        <v>15</v>
      </c>
      <c r="I35">
        <v>11.4</v>
      </c>
      <c r="J35">
        <f t="shared" si="1"/>
        <v>3.5999999999999996</v>
      </c>
      <c r="K35">
        <f t="shared" si="2"/>
        <v>26.4</v>
      </c>
      <c r="L35">
        <f t="shared" si="3"/>
        <v>5.7</v>
      </c>
      <c r="M35" t="s">
        <v>360</v>
      </c>
      <c r="N35" t="s">
        <v>361</v>
      </c>
      <c r="O35">
        <v>13</v>
      </c>
      <c r="P35">
        <v>5.7</v>
      </c>
      <c r="Q35" s="46">
        <v>39</v>
      </c>
      <c r="R35">
        <v>2</v>
      </c>
    </row>
    <row r="36" spans="1:18" x14ac:dyDescent="0.25">
      <c r="A36">
        <v>35</v>
      </c>
      <c r="B36" t="s">
        <v>369</v>
      </c>
      <c r="C36" t="s">
        <v>359</v>
      </c>
      <c r="D36" s="7">
        <v>42481</v>
      </c>
      <c r="E36" t="s">
        <v>285</v>
      </c>
      <c r="G36" t="str">
        <f t="shared" si="0"/>
        <v>Ref</v>
      </c>
      <c r="H36" s="1">
        <v>4</v>
      </c>
      <c r="I36">
        <v>2.8</v>
      </c>
      <c r="J36">
        <f t="shared" si="1"/>
        <v>1.2000000000000002</v>
      </c>
      <c r="K36">
        <f t="shared" si="2"/>
        <v>6.8</v>
      </c>
      <c r="L36">
        <f t="shared" si="3"/>
        <v>1.4</v>
      </c>
      <c r="M36" t="s">
        <v>360</v>
      </c>
      <c r="N36" t="s">
        <v>361</v>
      </c>
      <c r="O36">
        <v>8</v>
      </c>
      <c r="P36">
        <v>1.4</v>
      </c>
      <c r="Q36" s="46">
        <v>35</v>
      </c>
      <c r="R36">
        <v>2</v>
      </c>
    </row>
    <row r="37" spans="1:18" x14ac:dyDescent="0.25">
      <c r="A37">
        <v>36</v>
      </c>
      <c r="B37" t="s">
        <v>369</v>
      </c>
      <c r="C37" t="s">
        <v>359</v>
      </c>
      <c r="D37" s="7">
        <v>42481</v>
      </c>
      <c r="E37" t="s">
        <v>286</v>
      </c>
      <c r="G37" t="str">
        <f t="shared" si="0"/>
        <v>Ref</v>
      </c>
      <c r="H37">
        <v>0.39</v>
      </c>
      <c r="I37">
        <v>0.26</v>
      </c>
      <c r="J37">
        <f t="shared" si="1"/>
        <v>0.13</v>
      </c>
      <c r="K37">
        <f t="shared" si="2"/>
        <v>0.65</v>
      </c>
      <c r="L37">
        <f t="shared" si="3"/>
        <v>0.13</v>
      </c>
      <c r="M37" t="s">
        <v>360</v>
      </c>
      <c r="N37" t="s">
        <v>361</v>
      </c>
      <c r="O37">
        <v>5</v>
      </c>
      <c r="P37">
        <v>0.13</v>
      </c>
      <c r="Q37" s="46">
        <v>33</v>
      </c>
      <c r="R37">
        <v>2</v>
      </c>
    </row>
    <row r="38" spans="1:18" x14ac:dyDescent="0.25">
      <c r="A38">
        <v>37</v>
      </c>
      <c r="B38" t="s">
        <v>369</v>
      </c>
      <c r="C38" t="s">
        <v>359</v>
      </c>
      <c r="D38" s="7">
        <v>42481</v>
      </c>
      <c r="E38" t="s">
        <v>287</v>
      </c>
      <c r="G38" t="str">
        <f t="shared" si="0"/>
        <v>Ref</v>
      </c>
      <c r="H38">
        <v>1.9</v>
      </c>
      <c r="I38">
        <v>0.82</v>
      </c>
      <c r="J38">
        <f t="shared" si="1"/>
        <v>1.08</v>
      </c>
      <c r="K38">
        <f t="shared" si="2"/>
        <v>2.7199999999999998</v>
      </c>
      <c r="L38">
        <f t="shared" si="3"/>
        <v>0.41</v>
      </c>
      <c r="M38" t="s">
        <v>360</v>
      </c>
      <c r="N38" t="s">
        <v>361</v>
      </c>
      <c r="O38">
        <v>9</v>
      </c>
      <c r="P38">
        <v>0.41</v>
      </c>
      <c r="Q38" s="46">
        <v>21</v>
      </c>
      <c r="R38">
        <v>2</v>
      </c>
    </row>
    <row r="39" spans="1:18" x14ac:dyDescent="0.25">
      <c r="A39">
        <v>38</v>
      </c>
      <c r="B39" t="s">
        <v>369</v>
      </c>
      <c r="C39" t="s">
        <v>359</v>
      </c>
      <c r="D39" s="7">
        <v>42481</v>
      </c>
      <c r="E39" t="s">
        <v>288</v>
      </c>
      <c r="G39" t="str">
        <f t="shared" si="0"/>
        <v>Ref</v>
      </c>
      <c r="H39">
        <v>3.7</v>
      </c>
      <c r="I39">
        <v>2.2000000000000002</v>
      </c>
      <c r="J39">
        <f t="shared" si="1"/>
        <v>1.5</v>
      </c>
      <c r="K39">
        <f t="shared" si="2"/>
        <v>5.9</v>
      </c>
      <c r="L39">
        <f t="shared" si="3"/>
        <v>1.1000000000000001</v>
      </c>
      <c r="M39" t="s">
        <v>360</v>
      </c>
      <c r="N39" t="s">
        <v>361</v>
      </c>
      <c r="O39">
        <v>6</v>
      </c>
      <c r="P39">
        <v>1.1000000000000001</v>
      </c>
      <c r="Q39" s="46">
        <v>29</v>
      </c>
      <c r="R39">
        <v>2</v>
      </c>
    </row>
    <row r="40" spans="1:18" x14ac:dyDescent="0.25">
      <c r="A40">
        <v>39</v>
      </c>
      <c r="B40" t="s">
        <v>369</v>
      </c>
      <c r="C40" t="s">
        <v>359</v>
      </c>
      <c r="D40" s="7">
        <v>42481</v>
      </c>
      <c r="E40" t="s">
        <v>289</v>
      </c>
      <c r="G40" t="str">
        <f t="shared" si="0"/>
        <v>Ref</v>
      </c>
      <c r="H40">
        <v>2.4</v>
      </c>
      <c r="I40">
        <v>1.52</v>
      </c>
      <c r="J40">
        <f t="shared" si="1"/>
        <v>0.87999999999999989</v>
      </c>
      <c r="K40">
        <f t="shared" si="2"/>
        <v>3.92</v>
      </c>
      <c r="L40">
        <f t="shared" si="3"/>
        <v>0.76</v>
      </c>
      <c r="M40" t="s">
        <v>360</v>
      </c>
      <c r="N40" t="s">
        <v>361</v>
      </c>
      <c r="O40">
        <v>6</v>
      </c>
      <c r="P40">
        <v>0.76</v>
      </c>
      <c r="Q40" s="46">
        <v>32</v>
      </c>
      <c r="R40">
        <v>2</v>
      </c>
    </row>
    <row r="41" spans="1:18" x14ac:dyDescent="0.25">
      <c r="A41">
        <v>40</v>
      </c>
      <c r="B41" t="s">
        <v>369</v>
      </c>
      <c r="C41" t="s">
        <v>359</v>
      </c>
      <c r="D41" s="7">
        <v>42481</v>
      </c>
      <c r="E41" t="s">
        <v>290</v>
      </c>
      <c r="G41" t="str">
        <f t="shared" si="0"/>
        <v>Ref</v>
      </c>
      <c r="H41">
        <v>3.2</v>
      </c>
      <c r="I41">
        <v>1.82</v>
      </c>
      <c r="J41">
        <f t="shared" si="1"/>
        <v>1.3800000000000001</v>
      </c>
      <c r="K41">
        <f t="shared" si="2"/>
        <v>5.0200000000000005</v>
      </c>
      <c r="L41">
        <f t="shared" si="3"/>
        <v>0.91</v>
      </c>
      <c r="M41" t="s">
        <v>360</v>
      </c>
      <c r="N41" t="s">
        <v>361</v>
      </c>
      <c r="O41">
        <v>10</v>
      </c>
      <c r="P41">
        <v>0.91</v>
      </c>
      <c r="Q41" s="46">
        <v>29</v>
      </c>
      <c r="R41">
        <v>2</v>
      </c>
    </row>
    <row r="42" spans="1:18" x14ac:dyDescent="0.25">
      <c r="A42">
        <v>41</v>
      </c>
      <c r="B42" t="s">
        <v>369</v>
      </c>
      <c r="C42" t="s">
        <v>359</v>
      </c>
      <c r="D42" s="7">
        <v>42481</v>
      </c>
      <c r="E42" t="s">
        <v>291</v>
      </c>
      <c r="G42" t="str">
        <f t="shared" si="0"/>
        <v>Ref</v>
      </c>
      <c r="H42">
        <v>8.1999999999999993</v>
      </c>
      <c r="I42">
        <v>5.2</v>
      </c>
      <c r="J42">
        <f t="shared" si="1"/>
        <v>2.9999999999999991</v>
      </c>
      <c r="K42">
        <f t="shared" si="2"/>
        <v>13.399999999999999</v>
      </c>
      <c r="L42">
        <f t="shared" si="3"/>
        <v>2.6</v>
      </c>
      <c r="M42" t="s">
        <v>360</v>
      </c>
      <c r="N42" t="s">
        <v>361</v>
      </c>
      <c r="O42">
        <v>13</v>
      </c>
      <c r="P42">
        <v>2.6</v>
      </c>
      <c r="Q42" s="46">
        <v>31</v>
      </c>
      <c r="R42">
        <v>2</v>
      </c>
    </row>
    <row r="43" spans="1:18" x14ac:dyDescent="0.25">
      <c r="A43">
        <v>42</v>
      </c>
      <c r="B43" t="s">
        <v>369</v>
      </c>
      <c r="C43" t="s">
        <v>359</v>
      </c>
      <c r="D43" s="7">
        <v>42481</v>
      </c>
      <c r="E43" t="s">
        <v>292</v>
      </c>
      <c r="G43" t="str">
        <f t="shared" si="0"/>
        <v>Ref</v>
      </c>
      <c r="H43">
        <v>26</v>
      </c>
      <c r="I43">
        <v>19.600000000000001</v>
      </c>
      <c r="J43">
        <f t="shared" si="1"/>
        <v>6.3999999999999986</v>
      </c>
      <c r="K43">
        <f t="shared" si="2"/>
        <v>45.6</v>
      </c>
      <c r="L43">
        <f t="shared" si="3"/>
        <v>9.8000000000000007</v>
      </c>
      <c r="M43" t="s">
        <v>360</v>
      </c>
      <c r="N43" t="s">
        <v>361</v>
      </c>
      <c r="O43">
        <v>15</v>
      </c>
      <c r="P43">
        <v>9.8000000000000007</v>
      </c>
      <c r="Q43" s="46">
        <v>37</v>
      </c>
      <c r="R43">
        <v>2</v>
      </c>
    </row>
    <row r="44" spans="1:18" x14ac:dyDescent="0.25">
      <c r="A44">
        <v>43</v>
      </c>
      <c r="B44" t="s">
        <v>369</v>
      </c>
      <c r="C44" t="s">
        <v>359</v>
      </c>
      <c r="D44" s="7">
        <v>42481</v>
      </c>
      <c r="E44" t="s">
        <v>293</v>
      </c>
      <c r="G44" t="str">
        <f t="shared" si="0"/>
        <v>Ref</v>
      </c>
      <c r="H44">
        <v>36</v>
      </c>
      <c r="I44">
        <v>26</v>
      </c>
      <c r="J44">
        <f t="shared" si="1"/>
        <v>10</v>
      </c>
      <c r="K44">
        <f t="shared" si="2"/>
        <v>62</v>
      </c>
      <c r="L44">
        <f t="shared" si="3"/>
        <v>13</v>
      </c>
      <c r="M44" t="s">
        <v>360</v>
      </c>
      <c r="N44" t="s">
        <v>361</v>
      </c>
      <c r="O44">
        <v>15</v>
      </c>
      <c r="P44">
        <v>13</v>
      </c>
      <c r="Q44" s="46">
        <v>35</v>
      </c>
      <c r="R44">
        <v>2</v>
      </c>
    </row>
    <row r="45" spans="1:18" x14ac:dyDescent="0.25">
      <c r="A45">
        <v>44</v>
      </c>
      <c r="B45" t="s">
        <v>369</v>
      </c>
      <c r="C45" t="s">
        <v>359</v>
      </c>
      <c r="D45" s="7">
        <v>42481</v>
      </c>
      <c r="E45" t="s">
        <v>294</v>
      </c>
      <c r="G45" t="str">
        <f t="shared" si="0"/>
        <v>Ref</v>
      </c>
      <c r="H45">
        <v>27</v>
      </c>
      <c r="I45">
        <v>22</v>
      </c>
      <c r="J45">
        <f t="shared" si="1"/>
        <v>5</v>
      </c>
      <c r="K45">
        <f t="shared" si="2"/>
        <v>49</v>
      </c>
      <c r="L45">
        <f t="shared" si="3"/>
        <v>11</v>
      </c>
      <c r="M45" t="s">
        <v>360</v>
      </c>
      <c r="N45" t="s">
        <v>361</v>
      </c>
      <c r="O45">
        <v>15</v>
      </c>
      <c r="P45">
        <v>11</v>
      </c>
      <c r="Q45" s="46">
        <v>38</v>
      </c>
      <c r="R45">
        <v>2</v>
      </c>
    </row>
    <row r="46" spans="1:18" x14ac:dyDescent="0.25">
      <c r="A46">
        <v>45</v>
      </c>
      <c r="B46" t="s">
        <v>369</v>
      </c>
      <c r="C46" t="s">
        <v>359</v>
      </c>
      <c r="D46" s="7">
        <v>42481</v>
      </c>
      <c r="E46" t="s">
        <v>295</v>
      </c>
      <c r="G46" t="str">
        <f t="shared" si="0"/>
        <v>Ref</v>
      </c>
      <c r="H46">
        <v>14</v>
      </c>
      <c r="I46">
        <v>10.199999999999999</v>
      </c>
      <c r="J46">
        <f t="shared" si="1"/>
        <v>3.8000000000000007</v>
      </c>
      <c r="K46">
        <f t="shared" si="2"/>
        <v>24.2</v>
      </c>
      <c r="L46">
        <f t="shared" si="3"/>
        <v>5.0999999999999996</v>
      </c>
      <c r="M46" t="s">
        <v>360</v>
      </c>
      <c r="N46" t="s">
        <v>361</v>
      </c>
      <c r="O46">
        <v>16</v>
      </c>
      <c r="P46">
        <v>5.0999999999999996</v>
      </c>
      <c r="Q46" s="46">
        <v>37</v>
      </c>
      <c r="R46">
        <v>2</v>
      </c>
    </row>
    <row r="47" spans="1:18" x14ac:dyDescent="0.25">
      <c r="A47">
        <v>46</v>
      </c>
      <c r="B47" t="s">
        <v>369</v>
      </c>
      <c r="C47" t="s">
        <v>359</v>
      </c>
      <c r="D47" s="7">
        <v>42481</v>
      </c>
      <c r="E47" t="s">
        <v>296</v>
      </c>
      <c r="G47" t="str">
        <f t="shared" si="0"/>
        <v>Ref</v>
      </c>
      <c r="H47">
        <v>5.6</v>
      </c>
      <c r="I47">
        <v>3</v>
      </c>
      <c r="J47">
        <f t="shared" si="1"/>
        <v>2.5999999999999996</v>
      </c>
      <c r="K47">
        <f t="shared" si="2"/>
        <v>8.6</v>
      </c>
      <c r="L47">
        <f t="shared" si="3"/>
        <v>1.5</v>
      </c>
      <c r="M47" t="s">
        <v>360</v>
      </c>
      <c r="N47" t="s">
        <v>361</v>
      </c>
      <c r="O47">
        <v>7</v>
      </c>
      <c r="P47">
        <v>1.5</v>
      </c>
      <c r="Q47" s="46">
        <v>26</v>
      </c>
      <c r="R47">
        <v>2</v>
      </c>
    </row>
    <row r="48" spans="1:18" x14ac:dyDescent="0.25">
      <c r="A48">
        <v>47</v>
      </c>
      <c r="B48" t="s">
        <v>369</v>
      </c>
      <c r="C48" t="s">
        <v>359</v>
      </c>
      <c r="D48" s="7">
        <v>42481</v>
      </c>
      <c r="E48" t="s">
        <v>297</v>
      </c>
      <c r="G48" t="str">
        <f t="shared" si="0"/>
        <v>Ref</v>
      </c>
      <c r="H48">
        <v>0.69</v>
      </c>
      <c r="I48">
        <v>0.46</v>
      </c>
      <c r="J48">
        <f t="shared" si="1"/>
        <v>0.22999999999999993</v>
      </c>
      <c r="K48">
        <f t="shared" si="2"/>
        <v>1.1499999999999999</v>
      </c>
      <c r="L48">
        <f t="shared" si="3"/>
        <v>0.23</v>
      </c>
      <c r="M48" t="s">
        <v>360</v>
      </c>
      <c r="N48" t="s">
        <v>361</v>
      </c>
      <c r="O48">
        <v>5</v>
      </c>
      <c r="P48">
        <v>0.23</v>
      </c>
      <c r="Q48" s="46">
        <v>33</v>
      </c>
      <c r="R48">
        <v>2</v>
      </c>
    </row>
    <row r="49" spans="1:18" x14ac:dyDescent="0.25">
      <c r="A49">
        <v>48</v>
      </c>
      <c r="B49" t="s">
        <v>369</v>
      </c>
      <c r="C49" t="s">
        <v>359</v>
      </c>
      <c r="D49" s="7">
        <v>42481</v>
      </c>
      <c r="E49" t="s">
        <v>298</v>
      </c>
      <c r="G49" t="str">
        <f t="shared" si="0"/>
        <v>Ref</v>
      </c>
      <c r="H49">
        <v>1.4</v>
      </c>
      <c r="I49">
        <v>0.28000000000000003</v>
      </c>
      <c r="J49">
        <f t="shared" si="1"/>
        <v>1.1199999999999999</v>
      </c>
      <c r="K49">
        <f t="shared" si="2"/>
        <v>1.68</v>
      </c>
      <c r="L49">
        <f t="shared" si="3"/>
        <v>0.14000000000000001</v>
      </c>
      <c r="M49" t="s">
        <v>360</v>
      </c>
      <c r="N49" t="s">
        <v>361</v>
      </c>
      <c r="O49">
        <v>6</v>
      </c>
      <c r="P49">
        <v>0.14000000000000001</v>
      </c>
      <c r="Q49" s="46">
        <v>10</v>
      </c>
      <c r="R49">
        <v>2</v>
      </c>
    </row>
    <row r="50" spans="1:18" x14ac:dyDescent="0.25">
      <c r="A50">
        <v>49</v>
      </c>
      <c r="B50" t="s">
        <v>369</v>
      </c>
      <c r="C50" t="s">
        <v>359</v>
      </c>
      <c r="D50" s="7">
        <v>42481</v>
      </c>
      <c r="E50" t="s">
        <v>299</v>
      </c>
      <c r="G50" t="str">
        <f t="shared" si="0"/>
        <v>Ref</v>
      </c>
      <c r="H50">
        <v>2</v>
      </c>
      <c r="I50">
        <v>1.1200000000000001</v>
      </c>
      <c r="J50">
        <f t="shared" si="1"/>
        <v>0.87999999999999989</v>
      </c>
      <c r="K50">
        <f t="shared" si="2"/>
        <v>3.12</v>
      </c>
      <c r="L50">
        <f t="shared" si="3"/>
        <v>0.56000000000000005</v>
      </c>
      <c r="M50" t="s">
        <v>360</v>
      </c>
      <c r="N50" t="s">
        <v>361</v>
      </c>
      <c r="O50">
        <v>10</v>
      </c>
      <c r="P50">
        <v>0.56000000000000005</v>
      </c>
      <c r="Q50" s="46">
        <v>28</v>
      </c>
      <c r="R50">
        <v>2</v>
      </c>
    </row>
    <row r="51" spans="1:18" x14ac:dyDescent="0.25">
      <c r="A51">
        <v>50</v>
      </c>
      <c r="B51" t="s">
        <v>369</v>
      </c>
      <c r="C51" t="s">
        <v>359</v>
      </c>
      <c r="D51" s="7">
        <v>42481</v>
      </c>
      <c r="E51" t="s">
        <v>300</v>
      </c>
      <c r="G51" t="str">
        <f t="shared" si="0"/>
        <v>Ref</v>
      </c>
      <c r="H51">
        <v>4.0999999999999996</v>
      </c>
      <c r="I51">
        <v>2.8</v>
      </c>
      <c r="J51">
        <f t="shared" si="1"/>
        <v>1.2999999999999998</v>
      </c>
      <c r="K51">
        <f t="shared" si="2"/>
        <v>6.8999999999999995</v>
      </c>
      <c r="L51">
        <f t="shared" si="3"/>
        <v>1.4</v>
      </c>
      <c r="M51" t="s">
        <v>360</v>
      </c>
      <c r="N51" t="s">
        <v>361</v>
      </c>
      <c r="O51">
        <v>12</v>
      </c>
      <c r="P51">
        <v>1.4</v>
      </c>
      <c r="Q51" s="46">
        <v>33</v>
      </c>
      <c r="R51">
        <v>2</v>
      </c>
    </row>
    <row r="52" spans="1:18" x14ac:dyDescent="0.25">
      <c r="A52">
        <v>51</v>
      </c>
      <c r="B52" t="s">
        <v>369</v>
      </c>
      <c r="C52" t="s">
        <v>359</v>
      </c>
      <c r="D52" s="7">
        <v>42481</v>
      </c>
      <c r="E52" t="s">
        <v>301</v>
      </c>
      <c r="G52" t="str">
        <f t="shared" si="0"/>
        <v>Ref</v>
      </c>
      <c r="H52">
        <v>13</v>
      </c>
      <c r="I52">
        <v>5.4</v>
      </c>
      <c r="J52">
        <f t="shared" si="1"/>
        <v>7.6</v>
      </c>
      <c r="K52">
        <f t="shared" si="2"/>
        <v>18.399999999999999</v>
      </c>
      <c r="L52">
        <f t="shared" si="3"/>
        <v>2.7</v>
      </c>
      <c r="M52" t="s">
        <v>360</v>
      </c>
      <c r="N52" t="s">
        <v>361</v>
      </c>
      <c r="O52">
        <v>8</v>
      </c>
      <c r="P52">
        <v>2.7</v>
      </c>
      <c r="Q52" s="46">
        <v>20</v>
      </c>
      <c r="R52">
        <v>2</v>
      </c>
    </row>
    <row r="53" spans="1:18" x14ac:dyDescent="0.25">
      <c r="A53">
        <v>52</v>
      </c>
      <c r="B53" t="s">
        <v>369</v>
      </c>
      <c r="C53" t="s">
        <v>359</v>
      </c>
      <c r="D53" s="7">
        <v>42481</v>
      </c>
      <c r="E53" t="s">
        <v>302</v>
      </c>
      <c r="G53" t="str">
        <f t="shared" si="0"/>
        <v>Ref</v>
      </c>
      <c r="H53">
        <v>0.71</v>
      </c>
      <c r="I53">
        <v>0.54</v>
      </c>
      <c r="J53">
        <f t="shared" si="1"/>
        <v>0.16999999999999993</v>
      </c>
      <c r="K53">
        <f t="shared" si="2"/>
        <v>1.25</v>
      </c>
      <c r="L53">
        <f t="shared" si="3"/>
        <v>0.27</v>
      </c>
      <c r="M53" t="s">
        <v>360</v>
      </c>
      <c r="N53" t="s">
        <v>361</v>
      </c>
      <c r="O53">
        <v>5</v>
      </c>
      <c r="P53">
        <v>0.27</v>
      </c>
      <c r="Q53" s="46">
        <v>38</v>
      </c>
      <c r="R53">
        <v>2</v>
      </c>
    </row>
    <row r="54" spans="1:18" x14ac:dyDescent="0.25">
      <c r="A54">
        <v>53</v>
      </c>
      <c r="B54" t="s">
        <v>369</v>
      </c>
      <c r="C54" t="s">
        <v>359</v>
      </c>
      <c r="D54" s="7">
        <v>42481</v>
      </c>
      <c r="E54" t="s">
        <v>303</v>
      </c>
      <c r="G54" t="str">
        <f t="shared" si="0"/>
        <v>Ref</v>
      </c>
      <c r="H54">
        <v>2</v>
      </c>
      <c r="I54">
        <v>1.28</v>
      </c>
      <c r="J54">
        <f t="shared" si="1"/>
        <v>0.72</v>
      </c>
      <c r="K54">
        <f t="shared" si="2"/>
        <v>3.2800000000000002</v>
      </c>
      <c r="L54">
        <f t="shared" si="3"/>
        <v>0.64</v>
      </c>
      <c r="M54" t="s">
        <v>360</v>
      </c>
      <c r="N54" t="s">
        <v>361</v>
      </c>
      <c r="O54">
        <v>5</v>
      </c>
      <c r="P54">
        <v>0.64</v>
      </c>
      <c r="Q54" s="46">
        <v>32</v>
      </c>
      <c r="R54">
        <v>2</v>
      </c>
    </row>
    <row r="55" spans="1:18" x14ac:dyDescent="0.25">
      <c r="A55">
        <v>54</v>
      </c>
      <c r="B55" t="s">
        <v>369</v>
      </c>
      <c r="C55" t="s">
        <v>359</v>
      </c>
      <c r="D55" s="7">
        <v>42481</v>
      </c>
      <c r="E55" t="s">
        <v>304</v>
      </c>
      <c r="G55" t="str">
        <f t="shared" si="0"/>
        <v>Ref</v>
      </c>
      <c r="H55">
        <v>0.68</v>
      </c>
      <c r="I55">
        <v>0.42</v>
      </c>
      <c r="J55">
        <f t="shared" si="1"/>
        <v>0.26000000000000006</v>
      </c>
      <c r="K55">
        <f t="shared" si="2"/>
        <v>1.1000000000000001</v>
      </c>
      <c r="L55">
        <f t="shared" si="3"/>
        <v>0.21</v>
      </c>
      <c r="M55" t="s">
        <v>360</v>
      </c>
      <c r="N55" t="s">
        <v>361</v>
      </c>
      <c r="O55">
        <v>9</v>
      </c>
      <c r="P55">
        <v>0.21</v>
      </c>
      <c r="Q55" s="46">
        <v>31</v>
      </c>
      <c r="R55">
        <v>2</v>
      </c>
    </row>
    <row r="56" spans="1:18" x14ac:dyDescent="0.25">
      <c r="A56">
        <v>55</v>
      </c>
      <c r="B56" t="s">
        <v>369</v>
      </c>
      <c r="C56" t="s">
        <v>359</v>
      </c>
      <c r="D56" s="7">
        <v>42481</v>
      </c>
      <c r="E56" t="s">
        <v>305</v>
      </c>
      <c r="G56" t="str">
        <f t="shared" si="0"/>
        <v>Ref</v>
      </c>
      <c r="H56">
        <v>1.2</v>
      </c>
      <c r="I56">
        <v>0.54</v>
      </c>
      <c r="J56">
        <f t="shared" si="1"/>
        <v>0.65999999999999992</v>
      </c>
      <c r="K56">
        <f t="shared" si="2"/>
        <v>1.74</v>
      </c>
      <c r="L56">
        <f t="shared" si="3"/>
        <v>0.27</v>
      </c>
      <c r="M56" t="s">
        <v>360</v>
      </c>
      <c r="N56" t="s">
        <v>361</v>
      </c>
      <c r="O56">
        <v>6</v>
      </c>
      <c r="P56">
        <v>0.27</v>
      </c>
      <c r="Q56" s="46">
        <v>22</v>
      </c>
      <c r="R56">
        <v>2</v>
      </c>
    </row>
    <row r="57" spans="1:18" x14ac:dyDescent="0.25">
      <c r="A57">
        <v>56</v>
      </c>
      <c r="B57" t="s">
        <v>369</v>
      </c>
      <c r="C57" t="s">
        <v>359</v>
      </c>
      <c r="D57" s="7">
        <v>42481</v>
      </c>
      <c r="E57" t="s">
        <v>108</v>
      </c>
      <c r="G57" t="str">
        <f t="shared" si="0"/>
        <v>Ref</v>
      </c>
      <c r="H57">
        <v>1</v>
      </c>
      <c r="I57">
        <v>0.4</v>
      </c>
      <c r="J57">
        <f t="shared" si="1"/>
        <v>0.6</v>
      </c>
      <c r="K57">
        <f t="shared" si="2"/>
        <v>1.4</v>
      </c>
      <c r="L57">
        <f t="shared" si="3"/>
        <v>0.2</v>
      </c>
      <c r="M57" t="s">
        <v>360</v>
      </c>
      <c r="N57" t="s">
        <v>361</v>
      </c>
      <c r="O57">
        <v>16</v>
      </c>
      <c r="P57">
        <v>0.2</v>
      </c>
      <c r="Q57" s="46">
        <v>19</v>
      </c>
      <c r="R57">
        <v>2</v>
      </c>
    </row>
    <row r="58" spans="1:18" x14ac:dyDescent="0.25">
      <c r="A58">
        <v>57</v>
      </c>
      <c r="B58" t="s">
        <v>369</v>
      </c>
      <c r="C58" t="s">
        <v>359</v>
      </c>
      <c r="D58" s="7">
        <v>42481</v>
      </c>
      <c r="E58" t="s">
        <v>109</v>
      </c>
      <c r="G58" t="str">
        <f t="shared" si="0"/>
        <v>Ref</v>
      </c>
      <c r="H58">
        <v>0.52</v>
      </c>
      <c r="I58">
        <v>0.22</v>
      </c>
      <c r="J58">
        <f t="shared" si="1"/>
        <v>0.30000000000000004</v>
      </c>
      <c r="K58">
        <f t="shared" si="2"/>
        <v>0.74</v>
      </c>
      <c r="L58">
        <f t="shared" si="3"/>
        <v>0.11</v>
      </c>
      <c r="M58" t="s">
        <v>360</v>
      </c>
      <c r="N58" t="s">
        <v>361</v>
      </c>
      <c r="O58">
        <v>9</v>
      </c>
      <c r="P58">
        <v>0.11</v>
      </c>
      <c r="Q58" s="46">
        <v>22</v>
      </c>
      <c r="R58">
        <v>2</v>
      </c>
    </row>
    <row r="59" spans="1:18" x14ac:dyDescent="0.25">
      <c r="A59">
        <v>58</v>
      </c>
      <c r="B59" t="s">
        <v>369</v>
      </c>
      <c r="C59" t="s">
        <v>359</v>
      </c>
      <c r="D59" s="7">
        <v>42481</v>
      </c>
      <c r="E59" t="s">
        <v>110</v>
      </c>
      <c r="G59" t="str">
        <f t="shared" si="0"/>
        <v>Ref</v>
      </c>
      <c r="H59">
        <v>73</v>
      </c>
      <c r="I59">
        <v>22</v>
      </c>
      <c r="J59">
        <f t="shared" si="1"/>
        <v>51</v>
      </c>
      <c r="K59">
        <f t="shared" si="2"/>
        <v>95</v>
      </c>
      <c r="L59">
        <f t="shared" si="3"/>
        <v>11</v>
      </c>
      <c r="M59" t="s">
        <v>360</v>
      </c>
      <c r="N59" t="s">
        <v>361</v>
      </c>
      <c r="O59">
        <v>20</v>
      </c>
      <c r="P59">
        <v>11</v>
      </c>
      <c r="Q59" s="46">
        <v>15</v>
      </c>
      <c r="R59">
        <v>2</v>
      </c>
    </row>
    <row r="60" spans="1:18" x14ac:dyDescent="0.25">
      <c r="A60">
        <v>59</v>
      </c>
      <c r="B60" t="s">
        <v>369</v>
      </c>
      <c r="C60" t="s">
        <v>359</v>
      </c>
      <c r="D60" s="7">
        <v>42481</v>
      </c>
      <c r="E60" t="s">
        <v>111</v>
      </c>
      <c r="G60" t="str">
        <f t="shared" si="0"/>
        <v>Ref</v>
      </c>
      <c r="H60">
        <v>0.55000000000000004</v>
      </c>
      <c r="I60">
        <v>0.32</v>
      </c>
      <c r="J60">
        <f t="shared" si="1"/>
        <v>0.23000000000000004</v>
      </c>
      <c r="K60">
        <f t="shared" si="2"/>
        <v>0.87000000000000011</v>
      </c>
      <c r="L60">
        <f t="shared" si="3"/>
        <v>0.16</v>
      </c>
      <c r="M60" t="s">
        <v>360</v>
      </c>
      <c r="N60" t="s">
        <v>361</v>
      </c>
      <c r="O60">
        <v>10</v>
      </c>
      <c r="P60">
        <v>0.16</v>
      </c>
      <c r="Q60" s="46">
        <v>29</v>
      </c>
      <c r="R60">
        <v>2</v>
      </c>
    </row>
    <row r="61" spans="1:18" x14ac:dyDescent="0.25">
      <c r="A61">
        <v>60</v>
      </c>
      <c r="B61" t="s">
        <v>369</v>
      </c>
      <c r="C61" t="s">
        <v>359</v>
      </c>
      <c r="D61" s="7">
        <v>42481</v>
      </c>
      <c r="E61" t="s">
        <v>112</v>
      </c>
      <c r="G61" t="str">
        <f t="shared" si="0"/>
        <v>Ref</v>
      </c>
      <c r="H61">
        <v>0.46</v>
      </c>
      <c r="I61">
        <v>0.26</v>
      </c>
      <c r="J61">
        <f t="shared" si="1"/>
        <v>0.2</v>
      </c>
      <c r="K61">
        <f t="shared" si="2"/>
        <v>0.72</v>
      </c>
      <c r="L61">
        <f t="shared" si="3"/>
        <v>0.13</v>
      </c>
      <c r="M61" t="s">
        <v>360</v>
      </c>
      <c r="N61" t="s">
        <v>361</v>
      </c>
      <c r="O61">
        <v>8</v>
      </c>
      <c r="P61">
        <v>0.13</v>
      </c>
      <c r="Q61" s="46">
        <v>27</v>
      </c>
      <c r="R61">
        <v>2</v>
      </c>
    </row>
    <row r="62" spans="1:18" x14ac:dyDescent="0.25">
      <c r="A62">
        <v>61</v>
      </c>
      <c r="B62" t="s">
        <v>369</v>
      </c>
      <c r="C62" t="s">
        <v>359</v>
      </c>
      <c r="D62" s="7">
        <v>42481</v>
      </c>
      <c r="E62" t="s">
        <v>113</v>
      </c>
      <c r="G62" t="str">
        <f t="shared" si="0"/>
        <v>Ref</v>
      </c>
      <c r="H62">
        <v>2.4</v>
      </c>
      <c r="I62">
        <v>0.7</v>
      </c>
      <c r="J62">
        <f t="shared" si="1"/>
        <v>1.7</v>
      </c>
      <c r="K62">
        <f t="shared" si="2"/>
        <v>3.0999999999999996</v>
      </c>
      <c r="L62">
        <f t="shared" si="3"/>
        <v>0.35</v>
      </c>
      <c r="M62" t="s">
        <v>360</v>
      </c>
      <c r="N62" t="s">
        <v>361</v>
      </c>
      <c r="O62">
        <v>19</v>
      </c>
      <c r="P62">
        <v>0.35</v>
      </c>
      <c r="Q62" s="46">
        <v>15</v>
      </c>
      <c r="R62">
        <v>2</v>
      </c>
    </row>
    <row r="63" spans="1:18" x14ac:dyDescent="0.25">
      <c r="A63">
        <v>62</v>
      </c>
      <c r="B63" t="s">
        <v>369</v>
      </c>
      <c r="C63" t="s">
        <v>359</v>
      </c>
      <c r="D63" s="7">
        <v>42481</v>
      </c>
      <c r="E63" t="s">
        <v>114</v>
      </c>
      <c r="G63" t="str">
        <f t="shared" si="0"/>
        <v>Ref</v>
      </c>
      <c r="H63">
        <v>1.4</v>
      </c>
      <c r="I63">
        <v>0.48</v>
      </c>
      <c r="J63">
        <f t="shared" si="1"/>
        <v>0.91999999999999993</v>
      </c>
      <c r="K63">
        <f t="shared" si="2"/>
        <v>1.88</v>
      </c>
      <c r="L63">
        <f t="shared" si="3"/>
        <v>0.24</v>
      </c>
      <c r="M63" t="s">
        <v>360</v>
      </c>
      <c r="N63" t="s">
        <v>361</v>
      </c>
      <c r="O63">
        <v>6</v>
      </c>
      <c r="P63">
        <v>0.24</v>
      </c>
      <c r="Q63" s="46">
        <v>18</v>
      </c>
      <c r="R63">
        <v>2</v>
      </c>
    </row>
    <row r="64" spans="1:18" x14ac:dyDescent="0.25">
      <c r="A64">
        <v>63</v>
      </c>
      <c r="B64" t="s">
        <v>369</v>
      </c>
      <c r="C64" t="s">
        <v>359</v>
      </c>
      <c r="D64" s="7">
        <v>42481</v>
      </c>
      <c r="E64" t="s">
        <v>115</v>
      </c>
      <c r="G64" t="str">
        <f t="shared" si="0"/>
        <v>Ref</v>
      </c>
      <c r="H64">
        <v>0.25</v>
      </c>
      <c r="I64">
        <v>0.14199999999999999</v>
      </c>
      <c r="J64">
        <f t="shared" si="1"/>
        <v>0.10800000000000001</v>
      </c>
      <c r="K64">
        <f t="shared" si="2"/>
        <v>0.39200000000000002</v>
      </c>
      <c r="L64">
        <f t="shared" si="3"/>
        <v>7.0999999999999994E-2</v>
      </c>
      <c r="M64" t="s">
        <v>360</v>
      </c>
      <c r="N64" t="s">
        <v>361</v>
      </c>
      <c r="O64">
        <v>6</v>
      </c>
      <c r="P64">
        <v>7.0999999999999994E-2</v>
      </c>
      <c r="Q64" s="46">
        <v>29</v>
      </c>
      <c r="R64">
        <v>2</v>
      </c>
    </row>
    <row r="65" spans="1:18" x14ac:dyDescent="0.25">
      <c r="A65">
        <v>64</v>
      </c>
      <c r="B65" t="s">
        <v>369</v>
      </c>
      <c r="C65" t="s">
        <v>359</v>
      </c>
      <c r="D65" s="7">
        <v>42481</v>
      </c>
      <c r="E65" t="s">
        <v>116</v>
      </c>
      <c r="G65" t="str">
        <f t="shared" si="0"/>
        <v>Ref</v>
      </c>
      <c r="H65">
        <v>27</v>
      </c>
      <c r="I65">
        <v>6.6</v>
      </c>
      <c r="J65">
        <f t="shared" si="1"/>
        <v>20.399999999999999</v>
      </c>
      <c r="K65">
        <f t="shared" si="2"/>
        <v>33.6</v>
      </c>
      <c r="L65">
        <f t="shared" si="3"/>
        <v>3.3</v>
      </c>
      <c r="M65" t="s">
        <v>360</v>
      </c>
      <c r="N65" t="s">
        <v>361</v>
      </c>
      <c r="O65">
        <v>20</v>
      </c>
      <c r="P65">
        <v>3.3</v>
      </c>
      <c r="Q65" s="46">
        <v>12</v>
      </c>
      <c r="R65">
        <v>2</v>
      </c>
    </row>
    <row r="66" spans="1:18" x14ac:dyDescent="0.25">
      <c r="A66">
        <v>65</v>
      </c>
      <c r="B66" t="s">
        <v>369</v>
      </c>
      <c r="C66" t="s">
        <v>359</v>
      </c>
      <c r="D66" s="7">
        <v>42481</v>
      </c>
      <c r="E66" t="s">
        <v>117</v>
      </c>
      <c r="G66" t="str">
        <f t="shared" si="0"/>
        <v>Ref</v>
      </c>
      <c r="H66">
        <v>0.16</v>
      </c>
      <c r="I66">
        <v>0.11600000000000001</v>
      </c>
      <c r="J66">
        <f t="shared" si="1"/>
        <v>4.3999999999999997E-2</v>
      </c>
      <c r="K66">
        <f t="shared" si="2"/>
        <v>0.27600000000000002</v>
      </c>
      <c r="L66">
        <f t="shared" si="3"/>
        <v>5.8000000000000003E-2</v>
      </c>
      <c r="M66" t="s">
        <v>360</v>
      </c>
      <c r="N66" t="s">
        <v>361</v>
      </c>
      <c r="O66">
        <v>6</v>
      </c>
      <c r="P66">
        <v>5.8000000000000003E-2</v>
      </c>
      <c r="Q66" s="46">
        <v>36</v>
      </c>
      <c r="R66">
        <v>2</v>
      </c>
    </row>
    <row r="67" spans="1:18" x14ac:dyDescent="0.25">
      <c r="A67">
        <v>66</v>
      </c>
      <c r="B67" t="s">
        <v>369</v>
      </c>
      <c r="C67" t="s">
        <v>359</v>
      </c>
      <c r="D67" s="7">
        <v>42481</v>
      </c>
      <c r="E67" t="s">
        <v>118</v>
      </c>
      <c r="G67" t="str">
        <f t="shared" ref="G67:G130" si="4">IF(Q67&gt;40,"NA",IF(O67&gt;=5,"Ref","Inf"))</f>
        <v>Ref</v>
      </c>
      <c r="H67">
        <v>18</v>
      </c>
      <c r="I67">
        <v>4.5999999999999996</v>
      </c>
      <c r="J67">
        <f t="shared" ref="J67:J130" si="5">H67-I67</f>
        <v>13.4</v>
      </c>
      <c r="K67">
        <f t="shared" ref="K67:K130" si="6">H67+I67</f>
        <v>22.6</v>
      </c>
      <c r="L67">
        <f t="shared" ref="L67:L130" si="7">I67/R67</f>
        <v>2.2999999999999998</v>
      </c>
      <c r="M67" t="s">
        <v>360</v>
      </c>
      <c r="N67" t="s">
        <v>361</v>
      </c>
      <c r="O67">
        <v>19</v>
      </c>
      <c r="P67">
        <v>2.2999999999999998</v>
      </c>
      <c r="Q67" s="46">
        <v>13</v>
      </c>
      <c r="R67">
        <v>2</v>
      </c>
    </row>
    <row r="68" spans="1:18" x14ac:dyDescent="0.25">
      <c r="A68">
        <v>67</v>
      </c>
      <c r="B68" t="s">
        <v>369</v>
      </c>
      <c r="C68" t="s">
        <v>359</v>
      </c>
      <c r="D68" s="7">
        <v>42481</v>
      </c>
      <c r="E68" t="s">
        <v>119</v>
      </c>
      <c r="G68" t="str">
        <f t="shared" si="4"/>
        <v>Ref</v>
      </c>
      <c r="H68">
        <v>22</v>
      </c>
      <c r="I68">
        <v>5.8</v>
      </c>
      <c r="J68">
        <f t="shared" si="5"/>
        <v>16.2</v>
      </c>
      <c r="K68">
        <f t="shared" si="6"/>
        <v>27.8</v>
      </c>
      <c r="L68">
        <f t="shared" si="7"/>
        <v>2.9</v>
      </c>
      <c r="M68" t="s">
        <v>360</v>
      </c>
      <c r="N68" t="s">
        <v>361</v>
      </c>
      <c r="O68">
        <v>19</v>
      </c>
      <c r="P68">
        <v>2.9</v>
      </c>
      <c r="Q68" s="46">
        <v>13</v>
      </c>
      <c r="R68">
        <v>2</v>
      </c>
    </row>
    <row r="69" spans="1:18" x14ac:dyDescent="0.25">
      <c r="A69">
        <v>68</v>
      </c>
      <c r="B69" t="s">
        <v>369</v>
      </c>
      <c r="C69" t="s">
        <v>359</v>
      </c>
      <c r="D69" s="7">
        <v>42481</v>
      </c>
      <c r="E69" t="s">
        <v>120</v>
      </c>
      <c r="G69" t="str">
        <f t="shared" si="4"/>
        <v>Ref</v>
      </c>
      <c r="H69">
        <v>0.44</v>
      </c>
      <c r="I69">
        <v>0.26</v>
      </c>
      <c r="J69">
        <f t="shared" si="5"/>
        <v>0.18</v>
      </c>
      <c r="K69">
        <f t="shared" si="6"/>
        <v>0.7</v>
      </c>
      <c r="L69">
        <f t="shared" si="7"/>
        <v>0.13</v>
      </c>
      <c r="M69" t="s">
        <v>360</v>
      </c>
      <c r="N69" t="s">
        <v>361</v>
      </c>
      <c r="O69">
        <v>18</v>
      </c>
      <c r="P69">
        <v>0.13</v>
      </c>
      <c r="Q69" s="46">
        <v>30</v>
      </c>
      <c r="R69">
        <v>2</v>
      </c>
    </row>
    <row r="70" spans="1:18" x14ac:dyDescent="0.25">
      <c r="A70">
        <v>69</v>
      </c>
      <c r="B70" t="s">
        <v>369</v>
      </c>
      <c r="C70" t="s">
        <v>359</v>
      </c>
      <c r="D70" s="7">
        <v>42481</v>
      </c>
      <c r="E70" t="s">
        <v>121</v>
      </c>
      <c r="G70" t="str">
        <f t="shared" si="4"/>
        <v>Ref</v>
      </c>
      <c r="H70">
        <v>0.1</v>
      </c>
      <c r="I70">
        <v>6.8000000000000005E-2</v>
      </c>
      <c r="J70">
        <f t="shared" si="5"/>
        <v>3.2000000000000001E-2</v>
      </c>
      <c r="K70">
        <f t="shared" si="6"/>
        <v>0.16800000000000001</v>
      </c>
      <c r="L70">
        <f t="shared" si="7"/>
        <v>3.4000000000000002E-2</v>
      </c>
      <c r="M70" t="s">
        <v>360</v>
      </c>
      <c r="N70" t="s">
        <v>361</v>
      </c>
      <c r="O70">
        <v>7</v>
      </c>
      <c r="P70">
        <v>3.4000000000000002E-2</v>
      </c>
      <c r="Q70" s="46">
        <v>34</v>
      </c>
      <c r="R70">
        <v>2</v>
      </c>
    </row>
    <row r="71" spans="1:18" x14ac:dyDescent="0.25">
      <c r="A71">
        <v>70</v>
      </c>
      <c r="B71" t="s">
        <v>369</v>
      </c>
      <c r="C71" t="s">
        <v>359</v>
      </c>
      <c r="D71" s="7">
        <v>42481</v>
      </c>
      <c r="E71" t="s">
        <v>122</v>
      </c>
      <c r="G71" t="str">
        <f t="shared" si="4"/>
        <v>Ref</v>
      </c>
      <c r="H71">
        <v>0.19</v>
      </c>
      <c r="I71">
        <v>4.8000000000000001E-2</v>
      </c>
      <c r="J71">
        <f t="shared" si="5"/>
        <v>0.14200000000000002</v>
      </c>
      <c r="K71">
        <f t="shared" si="6"/>
        <v>0.23799999999999999</v>
      </c>
      <c r="L71">
        <f t="shared" si="7"/>
        <v>2.4E-2</v>
      </c>
      <c r="M71" t="s">
        <v>360</v>
      </c>
      <c r="N71" t="s">
        <v>361</v>
      </c>
      <c r="O71">
        <v>13</v>
      </c>
      <c r="P71">
        <v>2.4E-2</v>
      </c>
      <c r="Q71" s="46">
        <v>12</v>
      </c>
      <c r="R71">
        <v>2</v>
      </c>
    </row>
    <row r="72" spans="1:18" x14ac:dyDescent="0.25">
      <c r="A72">
        <v>71</v>
      </c>
      <c r="B72" t="s">
        <v>369</v>
      </c>
      <c r="C72" t="s">
        <v>359</v>
      </c>
      <c r="D72" s="7">
        <v>42481</v>
      </c>
      <c r="E72" t="s">
        <v>123</v>
      </c>
      <c r="G72" t="str">
        <f t="shared" si="4"/>
        <v>Ref</v>
      </c>
      <c r="H72">
        <v>0.23</v>
      </c>
      <c r="I72">
        <v>8.7999999999999995E-2</v>
      </c>
      <c r="J72">
        <f t="shared" si="5"/>
        <v>0.14200000000000002</v>
      </c>
      <c r="K72">
        <f t="shared" si="6"/>
        <v>0.318</v>
      </c>
      <c r="L72">
        <f t="shared" si="7"/>
        <v>4.3999999999999997E-2</v>
      </c>
      <c r="M72" t="s">
        <v>360</v>
      </c>
      <c r="N72" t="s">
        <v>361</v>
      </c>
      <c r="O72">
        <v>9</v>
      </c>
      <c r="P72">
        <v>4.3999999999999997E-2</v>
      </c>
      <c r="Q72" s="46">
        <v>19</v>
      </c>
      <c r="R72">
        <v>2</v>
      </c>
    </row>
    <row r="73" spans="1:18" x14ac:dyDescent="0.25">
      <c r="A73">
        <v>72</v>
      </c>
      <c r="B73" t="s">
        <v>369</v>
      </c>
      <c r="C73" t="s">
        <v>359</v>
      </c>
      <c r="D73" s="7">
        <v>42481</v>
      </c>
      <c r="E73" t="s">
        <v>124</v>
      </c>
      <c r="G73" t="str">
        <f t="shared" si="4"/>
        <v>Ref</v>
      </c>
      <c r="H73">
        <v>1.8</v>
      </c>
      <c r="I73">
        <v>0.52</v>
      </c>
      <c r="J73">
        <f t="shared" si="5"/>
        <v>1.28</v>
      </c>
      <c r="K73">
        <f t="shared" si="6"/>
        <v>2.3200000000000003</v>
      </c>
      <c r="L73">
        <f t="shared" si="7"/>
        <v>0.26</v>
      </c>
      <c r="M73" t="s">
        <v>360</v>
      </c>
      <c r="N73" t="s">
        <v>361</v>
      </c>
      <c r="O73">
        <v>18</v>
      </c>
      <c r="P73">
        <v>0.26</v>
      </c>
      <c r="Q73" s="46">
        <v>15</v>
      </c>
      <c r="R73">
        <v>2</v>
      </c>
    </row>
    <row r="74" spans="1:18" x14ac:dyDescent="0.25">
      <c r="A74">
        <v>73</v>
      </c>
      <c r="B74" t="s">
        <v>369</v>
      </c>
      <c r="C74" t="s">
        <v>359</v>
      </c>
      <c r="D74" s="7">
        <v>42481</v>
      </c>
      <c r="E74" t="s">
        <v>125</v>
      </c>
      <c r="G74" t="str">
        <f t="shared" si="4"/>
        <v>Ref</v>
      </c>
      <c r="H74">
        <v>6</v>
      </c>
      <c r="I74">
        <v>1.2</v>
      </c>
      <c r="J74">
        <f t="shared" si="5"/>
        <v>4.8</v>
      </c>
      <c r="K74">
        <f t="shared" si="6"/>
        <v>7.2</v>
      </c>
      <c r="L74">
        <f t="shared" si="7"/>
        <v>0.6</v>
      </c>
      <c r="M74" t="s">
        <v>360</v>
      </c>
      <c r="N74" t="s">
        <v>361</v>
      </c>
      <c r="O74">
        <v>20</v>
      </c>
      <c r="P74">
        <v>0.6</v>
      </c>
      <c r="Q74" s="46">
        <v>10</v>
      </c>
      <c r="R74">
        <v>2</v>
      </c>
    </row>
    <row r="75" spans="1:18" x14ac:dyDescent="0.25">
      <c r="A75">
        <v>74</v>
      </c>
      <c r="B75" t="s">
        <v>369</v>
      </c>
      <c r="C75" t="s">
        <v>359</v>
      </c>
      <c r="D75" s="7">
        <v>42481</v>
      </c>
      <c r="E75" t="s">
        <v>126</v>
      </c>
      <c r="G75" t="str">
        <f t="shared" si="4"/>
        <v>Ref</v>
      </c>
      <c r="H75">
        <v>0.33</v>
      </c>
      <c r="I75">
        <v>0.184</v>
      </c>
      <c r="J75">
        <f t="shared" si="5"/>
        <v>0.14600000000000002</v>
      </c>
      <c r="K75">
        <f t="shared" si="6"/>
        <v>0.51400000000000001</v>
      </c>
      <c r="L75">
        <f t="shared" si="7"/>
        <v>9.1999999999999998E-2</v>
      </c>
      <c r="M75" t="s">
        <v>360</v>
      </c>
      <c r="N75" t="s">
        <v>361</v>
      </c>
      <c r="O75">
        <v>15</v>
      </c>
      <c r="P75">
        <v>9.1999999999999998E-2</v>
      </c>
      <c r="Q75" s="46">
        <v>28</v>
      </c>
      <c r="R75">
        <v>2</v>
      </c>
    </row>
    <row r="76" spans="1:18" x14ac:dyDescent="0.25">
      <c r="A76">
        <v>75</v>
      </c>
      <c r="B76" t="s">
        <v>369</v>
      </c>
      <c r="C76" t="s">
        <v>359</v>
      </c>
      <c r="D76" s="7">
        <v>42481</v>
      </c>
      <c r="E76" t="s">
        <v>127</v>
      </c>
      <c r="G76" t="str">
        <f t="shared" si="4"/>
        <v>Ref</v>
      </c>
      <c r="H76">
        <v>2.5000000000000001E-2</v>
      </c>
      <c r="I76">
        <v>3.3999999999999998E-3</v>
      </c>
      <c r="J76">
        <f t="shared" si="5"/>
        <v>2.1600000000000001E-2</v>
      </c>
      <c r="K76">
        <f t="shared" si="6"/>
        <v>2.8400000000000002E-2</v>
      </c>
      <c r="L76">
        <f t="shared" si="7"/>
        <v>1.6999999999999999E-3</v>
      </c>
      <c r="M76" t="s">
        <v>360</v>
      </c>
      <c r="N76" t="s">
        <v>361</v>
      </c>
      <c r="O76">
        <v>5</v>
      </c>
      <c r="P76">
        <v>1.6999999999999999E-3</v>
      </c>
      <c r="Q76" s="46">
        <v>7</v>
      </c>
      <c r="R76">
        <v>2</v>
      </c>
    </row>
    <row r="77" spans="1:18" x14ac:dyDescent="0.25">
      <c r="A77">
        <v>76</v>
      </c>
      <c r="B77" t="s">
        <v>369</v>
      </c>
      <c r="C77" t="s">
        <v>359</v>
      </c>
      <c r="D77" s="7">
        <v>42481</v>
      </c>
      <c r="E77" t="s">
        <v>128</v>
      </c>
      <c r="G77" t="str">
        <f t="shared" si="4"/>
        <v>Ref</v>
      </c>
      <c r="H77">
        <v>1.2999999999999999E-2</v>
      </c>
      <c r="I77">
        <v>9.1999999999999998E-3</v>
      </c>
      <c r="J77">
        <f t="shared" si="5"/>
        <v>3.7999999999999996E-3</v>
      </c>
      <c r="K77">
        <f t="shared" si="6"/>
        <v>2.2199999999999998E-2</v>
      </c>
      <c r="L77">
        <f t="shared" si="7"/>
        <v>4.5999999999999999E-3</v>
      </c>
      <c r="M77" t="s">
        <v>360</v>
      </c>
      <c r="N77" t="s">
        <v>361</v>
      </c>
      <c r="O77">
        <v>5</v>
      </c>
      <c r="P77">
        <v>4.5999999999999999E-3</v>
      </c>
      <c r="Q77" s="46">
        <v>36</v>
      </c>
      <c r="R77">
        <v>2</v>
      </c>
    </row>
    <row r="78" spans="1:18" x14ac:dyDescent="0.25">
      <c r="A78">
        <v>77</v>
      </c>
      <c r="B78" t="s">
        <v>369</v>
      </c>
      <c r="C78" t="s">
        <v>359</v>
      </c>
      <c r="D78" s="7">
        <v>42481</v>
      </c>
      <c r="E78" t="s">
        <v>129</v>
      </c>
      <c r="G78" t="str">
        <f t="shared" si="4"/>
        <v>Ref</v>
      </c>
      <c r="H78">
        <v>0.12</v>
      </c>
      <c r="I78">
        <v>8.2000000000000003E-2</v>
      </c>
      <c r="J78">
        <f t="shared" si="5"/>
        <v>3.7999999999999992E-2</v>
      </c>
      <c r="K78">
        <f t="shared" si="6"/>
        <v>0.20200000000000001</v>
      </c>
      <c r="L78">
        <f t="shared" si="7"/>
        <v>4.1000000000000002E-2</v>
      </c>
      <c r="M78" t="s">
        <v>360</v>
      </c>
      <c r="N78" t="s">
        <v>361</v>
      </c>
      <c r="O78">
        <v>8</v>
      </c>
      <c r="P78">
        <v>4.1000000000000002E-2</v>
      </c>
      <c r="Q78" s="46">
        <v>33</v>
      </c>
      <c r="R78">
        <v>2</v>
      </c>
    </row>
    <row r="79" spans="1:18" x14ac:dyDescent="0.25">
      <c r="A79">
        <v>78</v>
      </c>
      <c r="B79" t="s">
        <v>369</v>
      </c>
      <c r="C79" t="s">
        <v>359</v>
      </c>
      <c r="D79" s="7">
        <v>42481</v>
      </c>
      <c r="E79" t="s">
        <v>130</v>
      </c>
      <c r="G79" t="str">
        <f t="shared" si="4"/>
        <v>Ref</v>
      </c>
      <c r="H79">
        <v>0.43</v>
      </c>
      <c r="I79">
        <v>0.26</v>
      </c>
      <c r="J79">
        <f t="shared" si="5"/>
        <v>0.16999999999999998</v>
      </c>
      <c r="K79">
        <f t="shared" si="6"/>
        <v>0.69</v>
      </c>
      <c r="L79">
        <f t="shared" si="7"/>
        <v>0.13</v>
      </c>
      <c r="M79" t="s">
        <v>360</v>
      </c>
      <c r="N79" t="s">
        <v>361</v>
      </c>
      <c r="O79">
        <v>12</v>
      </c>
      <c r="P79">
        <v>0.13</v>
      </c>
      <c r="Q79" s="46">
        <v>30</v>
      </c>
      <c r="R79">
        <v>2</v>
      </c>
    </row>
    <row r="80" spans="1:18" x14ac:dyDescent="0.25">
      <c r="A80">
        <v>79</v>
      </c>
      <c r="B80" t="s">
        <v>369</v>
      </c>
      <c r="C80" t="s">
        <v>359</v>
      </c>
      <c r="D80" s="7">
        <v>42481</v>
      </c>
      <c r="E80" t="s">
        <v>131</v>
      </c>
      <c r="G80" t="str">
        <f t="shared" si="4"/>
        <v>Ref</v>
      </c>
      <c r="H80">
        <v>0.77</v>
      </c>
      <c r="I80">
        <v>0.28000000000000003</v>
      </c>
      <c r="J80">
        <f t="shared" si="5"/>
        <v>0.49</v>
      </c>
      <c r="K80">
        <f t="shared" si="6"/>
        <v>1.05</v>
      </c>
      <c r="L80">
        <f t="shared" si="7"/>
        <v>0.14000000000000001</v>
      </c>
      <c r="M80" t="s">
        <v>360</v>
      </c>
      <c r="N80" t="s">
        <v>361</v>
      </c>
      <c r="O80">
        <v>17</v>
      </c>
      <c r="P80">
        <v>0.14000000000000001</v>
      </c>
      <c r="Q80" s="46">
        <v>18</v>
      </c>
      <c r="R80">
        <v>2</v>
      </c>
    </row>
    <row r="81" spans="1:18" x14ac:dyDescent="0.25">
      <c r="A81">
        <v>80</v>
      </c>
      <c r="B81" t="s">
        <v>369</v>
      </c>
      <c r="C81" t="s">
        <v>359</v>
      </c>
      <c r="D81" s="7">
        <v>42481</v>
      </c>
      <c r="E81" t="s">
        <v>132</v>
      </c>
      <c r="G81" t="str">
        <f t="shared" si="4"/>
        <v>Ref</v>
      </c>
      <c r="H81">
        <v>4.5999999999999999E-2</v>
      </c>
      <c r="I81">
        <v>0.03</v>
      </c>
      <c r="J81">
        <f t="shared" si="5"/>
        <v>1.6E-2</v>
      </c>
      <c r="K81">
        <f t="shared" si="6"/>
        <v>7.5999999999999998E-2</v>
      </c>
      <c r="L81">
        <f t="shared" si="7"/>
        <v>1.4999999999999999E-2</v>
      </c>
      <c r="M81" t="s">
        <v>360</v>
      </c>
      <c r="N81" t="s">
        <v>361</v>
      </c>
      <c r="O81">
        <v>5</v>
      </c>
      <c r="P81">
        <v>1.4999999999999999E-2</v>
      </c>
      <c r="Q81" s="46">
        <v>33</v>
      </c>
      <c r="R81">
        <v>2</v>
      </c>
    </row>
    <row r="82" spans="1:18" x14ac:dyDescent="0.25">
      <c r="A82">
        <v>81</v>
      </c>
      <c r="B82" t="s">
        <v>369</v>
      </c>
      <c r="C82" t="s">
        <v>359</v>
      </c>
      <c r="D82" s="7">
        <v>42481</v>
      </c>
      <c r="E82" t="s">
        <v>133</v>
      </c>
      <c r="G82" t="str">
        <f t="shared" si="4"/>
        <v>Ref</v>
      </c>
      <c r="H82">
        <v>0.91</v>
      </c>
      <c r="I82">
        <v>0.54</v>
      </c>
      <c r="J82">
        <f t="shared" si="5"/>
        <v>0.37</v>
      </c>
      <c r="K82">
        <f t="shared" si="6"/>
        <v>1.4500000000000002</v>
      </c>
      <c r="L82">
        <f t="shared" si="7"/>
        <v>0.27</v>
      </c>
      <c r="M82" t="s">
        <v>360</v>
      </c>
      <c r="N82" t="s">
        <v>361</v>
      </c>
      <c r="O82">
        <v>14</v>
      </c>
      <c r="P82">
        <v>0.27</v>
      </c>
      <c r="Q82" s="46">
        <v>29</v>
      </c>
      <c r="R82">
        <v>2</v>
      </c>
    </row>
    <row r="83" spans="1:18" x14ac:dyDescent="0.25">
      <c r="A83">
        <v>82</v>
      </c>
      <c r="B83" t="s">
        <v>369</v>
      </c>
      <c r="C83" t="s">
        <v>359</v>
      </c>
      <c r="D83" s="7">
        <v>42481</v>
      </c>
      <c r="E83" t="s">
        <v>134</v>
      </c>
      <c r="G83" t="str">
        <f t="shared" si="4"/>
        <v>Ref</v>
      </c>
      <c r="H83">
        <v>1.6</v>
      </c>
      <c r="I83">
        <v>1.1000000000000001</v>
      </c>
      <c r="J83">
        <f t="shared" si="5"/>
        <v>0.5</v>
      </c>
      <c r="K83">
        <f t="shared" si="6"/>
        <v>2.7</v>
      </c>
      <c r="L83">
        <f t="shared" si="7"/>
        <v>0.55000000000000004</v>
      </c>
      <c r="M83" t="s">
        <v>360</v>
      </c>
      <c r="N83" t="s">
        <v>361</v>
      </c>
      <c r="O83">
        <v>15</v>
      </c>
      <c r="P83">
        <v>0.55000000000000004</v>
      </c>
      <c r="Q83" s="46">
        <v>34</v>
      </c>
      <c r="R83">
        <v>2</v>
      </c>
    </row>
    <row r="84" spans="1:18" x14ac:dyDescent="0.25">
      <c r="A84">
        <v>83</v>
      </c>
      <c r="B84" t="s">
        <v>369</v>
      </c>
      <c r="C84" t="s">
        <v>359</v>
      </c>
      <c r="D84" s="7">
        <v>42481</v>
      </c>
      <c r="E84" t="s">
        <v>135</v>
      </c>
      <c r="G84" t="str">
        <f t="shared" si="4"/>
        <v>Ref</v>
      </c>
      <c r="H84">
        <v>1.4</v>
      </c>
      <c r="I84">
        <v>0.94</v>
      </c>
      <c r="J84">
        <f t="shared" si="5"/>
        <v>0.45999999999999996</v>
      </c>
      <c r="K84">
        <f t="shared" si="6"/>
        <v>2.34</v>
      </c>
      <c r="L84">
        <f t="shared" si="7"/>
        <v>0.47</v>
      </c>
      <c r="M84" t="s">
        <v>360</v>
      </c>
      <c r="N84" t="s">
        <v>361</v>
      </c>
      <c r="O84">
        <v>14</v>
      </c>
      <c r="P84">
        <v>0.47</v>
      </c>
      <c r="Q84" s="46">
        <v>35</v>
      </c>
      <c r="R84">
        <v>2</v>
      </c>
    </row>
    <row r="85" spans="1:18" x14ac:dyDescent="0.25">
      <c r="A85">
        <v>84</v>
      </c>
      <c r="B85" t="s">
        <v>369</v>
      </c>
      <c r="C85" t="s">
        <v>359</v>
      </c>
      <c r="D85" s="7">
        <v>42481</v>
      </c>
      <c r="E85" t="s">
        <v>136</v>
      </c>
      <c r="G85" t="str">
        <f t="shared" si="4"/>
        <v>Ref</v>
      </c>
      <c r="H85">
        <v>1.9</v>
      </c>
      <c r="I85">
        <v>1.1200000000000001</v>
      </c>
      <c r="J85">
        <f t="shared" si="5"/>
        <v>0.7799999999999998</v>
      </c>
      <c r="K85">
        <f t="shared" si="6"/>
        <v>3.02</v>
      </c>
      <c r="L85">
        <f t="shared" si="7"/>
        <v>0.56000000000000005</v>
      </c>
      <c r="M85" t="s">
        <v>360</v>
      </c>
      <c r="N85" t="s">
        <v>361</v>
      </c>
      <c r="O85">
        <v>16</v>
      </c>
      <c r="P85">
        <v>0.56000000000000005</v>
      </c>
      <c r="Q85" s="46">
        <v>30</v>
      </c>
      <c r="R85">
        <v>2</v>
      </c>
    </row>
    <row r="86" spans="1:18" x14ac:dyDescent="0.25">
      <c r="A86">
        <v>85</v>
      </c>
      <c r="B86" t="s">
        <v>369</v>
      </c>
      <c r="C86" t="s">
        <v>359</v>
      </c>
      <c r="D86" s="7">
        <v>42481</v>
      </c>
      <c r="E86" t="s">
        <v>137</v>
      </c>
      <c r="G86" t="str">
        <f t="shared" si="4"/>
        <v>Ref</v>
      </c>
      <c r="H86">
        <v>1.1000000000000001</v>
      </c>
      <c r="I86">
        <v>0.82</v>
      </c>
      <c r="J86">
        <f t="shared" si="5"/>
        <v>0.28000000000000014</v>
      </c>
      <c r="K86">
        <f t="shared" si="6"/>
        <v>1.92</v>
      </c>
      <c r="L86">
        <f t="shared" si="7"/>
        <v>0.41</v>
      </c>
      <c r="M86" t="s">
        <v>360</v>
      </c>
      <c r="N86" t="s">
        <v>361</v>
      </c>
      <c r="O86">
        <v>14</v>
      </c>
      <c r="P86">
        <v>0.41</v>
      </c>
      <c r="Q86" s="46">
        <v>37</v>
      </c>
      <c r="R86">
        <v>2</v>
      </c>
    </row>
    <row r="87" spans="1:18" x14ac:dyDescent="0.25">
      <c r="A87">
        <v>86</v>
      </c>
      <c r="B87" t="s">
        <v>369</v>
      </c>
      <c r="C87" t="s">
        <v>359</v>
      </c>
      <c r="D87" s="7">
        <v>42481</v>
      </c>
      <c r="E87" t="s">
        <v>138</v>
      </c>
      <c r="G87" t="str">
        <f t="shared" si="4"/>
        <v>Ref</v>
      </c>
      <c r="H87">
        <v>0.52</v>
      </c>
      <c r="I87">
        <v>0.36</v>
      </c>
      <c r="J87">
        <f t="shared" si="5"/>
        <v>0.16000000000000003</v>
      </c>
      <c r="K87">
        <f t="shared" si="6"/>
        <v>0.88</v>
      </c>
      <c r="L87">
        <f t="shared" si="7"/>
        <v>0.18</v>
      </c>
      <c r="M87" t="s">
        <v>360</v>
      </c>
      <c r="N87" t="s">
        <v>361</v>
      </c>
      <c r="O87">
        <v>12</v>
      </c>
      <c r="P87">
        <v>0.18</v>
      </c>
      <c r="Q87" s="46">
        <v>34</v>
      </c>
      <c r="R87">
        <v>2</v>
      </c>
    </row>
    <row r="88" spans="1:18" x14ac:dyDescent="0.25">
      <c r="A88">
        <v>87</v>
      </c>
      <c r="B88" t="s">
        <v>369</v>
      </c>
      <c r="C88" t="s">
        <v>359</v>
      </c>
      <c r="D88" s="7">
        <v>42481</v>
      </c>
      <c r="E88" t="s">
        <v>139</v>
      </c>
      <c r="G88" t="str">
        <f t="shared" si="4"/>
        <v>Ref</v>
      </c>
      <c r="H88">
        <v>1.6</v>
      </c>
      <c r="I88">
        <v>0.64</v>
      </c>
      <c r="J88">
        <f t="shared" si="5"/>
        <v>0.96000000000000008</v>
      </c>
      <c r="K88">
        <f t="shared" si="6"/>
        <v>2.2400000000000002</v>
      </c>
      <c r="L88">
        <f t="shared" si="7"/>
        <v>0.32</v>
      </c>
      <c r="M88" t="s">
        <v>360</v>
      </c>
      <c r="N88" t="s">
        <v>361</v>
      </c>
      <c r="O88">
        <v>11</v>
      </c>
      <c r="P88">
        <v>0.32</v>
      </c>
      <c r="Q88" s="46">
        <v>20</v>
      </c>
      <c r="R88">
        <v>2</v>
      </c>
    </row>
    <row r="89" spans="1:18" x14ac:dyDescent="0.25">
      <c r="A89">
        <v>88</v>
      </c>
      <c r="B89" t="s">
        <v>369</v>
      </c>
      <c r="C89" t="s">
        <v>359</v>
      </c>
      <c r="D89" s="7">
        <v>42481</v>
      </c>
      <c r="E89" t="s">
        <v>140</v>
      </c>
      <c r="G89" t="str">
        <f t="shared" si="4"/>
        <v>Ref</v>
      </c>
      <c r="H89">
        <v>7.1999999999999995E-2</v>
      </c>
      <c r="I89">
        <v>5.1999999999999998E-2</v>
      </c>
      <c r="J89">
        <f t="shared" si="5"/>
        <v>1.9999999999999997E-2</v>
      </c>
      <c r="K89">
        <f t="shared" si="6"/>
        <v>0.124</v>
      </c>
      <c r="L89">
        <f t="shared" si="7"/>
        <v>2.5999999999999999E-2</v>
      </c>
      <c r="M89" t="s">
        <v>360</v>
      </c>
      <c r="N89" t="s">
        <v>361</v>
      </c>
      <c r="O89">
        <v>7</v>
      </c>
      <c r="P89">
        <v>2.5999999999999999E-2</v>
      </c>
      <c r="Q89" s="46">
        <v>36</v>
      </c>
      <c r="R89">
        <v>2</v>
      </c>
    </row>
    <row r="90" spans="1:18" x14ac:dyDescent="0.25">
      <c r="A90">
        <v>89</v>
      </c>
      <c r="B90" t="s">
        <v>369</v>
      </c>
      <c r="C90" t="s">
        <v>359</v>
      </c>
      <c r="D90" s="7">
        <v>42481</v>
      </c>
      <c r="E90" t="s">
        <v>141</v>
      </c>
      <c r="G90" t="str">
        <f t="shared" si="4"/>
        <v>Ref</v>
      </c>
      <c r="H90">
        <v>4.7E-2</v>
      </c>
      <c r="I90">
        <v>1.9199999999999998E-2</v>
      </c>
      <c r="J90">
        <f t="shared" si="5"/>
        <v>2.7800000000000002E-2</v>
      </c>
      <c r="K90">
        <f t="shared" si="6"/>
        <v>6.6199999999999995E-2</v>
      </c>
      <c r="L90">
        <f t="shared" si="7"/>
        <v>9.5999999999999992E-3</v>
      </c>
      <c r="M90" t="s">
        <v>360</v>
      </c>
      <c r="N90" t="s">
        <v>361</v>
      </c>
      <c r="O90">
        <v>7</v>
      </c>
      <c r="P90">
        <v>9.5999999999999992E-3</v>
      </c>
      <c r="Q90" s="46">
        <v>20</v>
      </c>
      <c r="R90">
        <v>2</v>
      </c>
    </row>
    <row r="91" spans="1:18" x14ac:dyDescent="0.25">
      <c r="A91">
        <v>90</v>
      </c>
      <c r="B91" t="s">
        <v>369</v>
      </c>
      <c r="C91" t="s">
        <v>359</v>
      </c>
      <c r="D91" s="7">
        <v>42481</v>
      </c>
      <c r="E91" t="s">
        <v>142</v>
      </c>
      <c r="G91" t="str">
        <f t="shared" si="4"/>
        <v>Ref</v>
      </c>
      <c r="H91">
        <v>7.2</v>
      </c>
      <c r="I91" s="1">
        <v>2</v>
      </c>
      <c r="J91">
        <f t="shared" si="5"/>
        <v>5.2</v>
      </c>
      <c r="K91">
        <f t="shared" si="6"/>
        <v>9.1999999999999993</v>
      </c>
      <c r="L91">
        <f t="shared" si="7"/>
        <v>1</v>
      </c>
      <c r="M91" t="s">
        <v>360</v>
      </c>
      <c r="N91" t="s">
        <v>361</v>
      </c>
      <c r="O91">
        <v>18</v>
      </c>
      <c r="P91" s="1">
        <v>1</v>
      </c>
      <c r="Q91" s="46">
        <v>14</v>
      </c>
      <c r="R91">
        <v>2</v>
      </c>
    </row>
    <row r="92" spans="1:18" x14ac:dyDescent="0.25">
      <c r="A92">
        <v>91</v>
      </c>
      <c r="B92" t="s">
        <v>369</v>
      </c>
      <c r="C92" t="s">
        <v>359</v>
      </c>
      <c r="D92" s="7">
        <v>42481</v>
      </c>
      <c r="E92" t="s">
        <v>143</v>
      </c>
      <c r="G92" t="str">
        <f t="shared" si="4"/>
        <v>Ref</v>
      </c>
      <c r="H92">
        <v>1.5</v>
      </c>
      <c r="I92">
        <v>0.82</v>
      </c>
      <c r="J92">
        <f t="shared" si="5"/>
        <v>0.68</v>
      </c>
      <c r="K92">
        <f t="shared" si="6"/>
        <v>2.3199999999999998</v>
      </c>
      <c r="L92">
        <f t="shared" si="7"/>
        <v>0.41</v>
      </c>
      <c r="M92" t="s">
        <v>360</v>
      </c>
      <c r="N92" t="s">
        <v>361</v>
      </c>
      <c r="O92">
        <v>11</v>
      </c>
      <c r="P92">
        <v>0.41</v>
      </c>
      <c r="Q92" s="46">
        <v>28</v>
      </c>
      <c r="R92">
        <v>2</v>
      </c>
    </row>
    <row r="93" spans="1:18" x14ac:dyDescent="0.25">
      <c r="A93">
        <v>92</v>
      </c>
      <c r="B93" t="s">
        <v>369</v>
      </c>
      <c r="C93" t="s">
        <v>359</v>
      </c>
      <c r="D93" s="7">
        <v>42481</v>
      </c>
      <c r="E93" t="s">
        <v>144</v>
      </c>
      <c r="G93" t="str">
        <f t="shared" si="4"/>
        <v>Ref</v>
      </c>
      <c r="H93">
        <v>13</v>
      </c>
      <c r="I93">
        <v>3.8</v>
      </c>
      <c r="J93">
        <f t="shared" si="5"/>
        <v>9.1999999999999993</v>
      </c>
      <c r="K93">
        <f t="shared" si="6"/>
        <v>16.8</v>
      </c>
      <c r="L93">
        <f t="shared" si="7"/>
        <v>1.9</v>
      </c>
      <c r="M93" t="s">
        <v>360</v>
      </c>
      <c r="N93" t="s">
        <v>361</v>
      </c>
      <c r="O93">
        <v>18</v>
      </c>
      <c r="P93">
        <v>1.9</v>
      </c>
      <c r="Q93" s="46">
        <v>15</v>
      </c>
      <c r="R93">
        <v>2</v>
      </c>
    </row>
    <row r="94" spans="1:18" x14ac:dyDescent="0.25">
      <c r="A94">
        <v>93</v>
      </c>
      <c r="B94" t="s">
        <v>369</v>
      </c>
      <c r="C94" t="s">
        <v>359</v>
      </c>
      <c r="D94" s="7">
        <v>42481</v>
      </c>
      <c r="E94" t="s">
        <v>145</v>
      </c>
      <c r="G94" t="str">
        <f t="shared" si="4"/>
        <v>Ref</v>
      </c>
      <c r="H94">
        <v>1.6</v>
      </c>
      <c r="I94">
        <v>0.48</v>
      </c>
      <c r="J94">
        <f t="shared" si="5"/>
        <v>1.1200000000000001</v>
      </c>
      <c r="K94">
        <f t="shared" si="6"/>
        <v>2.08</v>
      </c>
      <c r="L94">
        <f t="shared" si="7"/>
        <v>0.24</v>
      </c>
      <c r="M94" t="s">
        <v>360</v>
      </c>
      <c r="N94" t="s">
        <v>361</v>
      </c>
      <c r="O94">
        <v>11</v>
      </c>
      <c r="P94">
        <v>0.24</v>
      </c>
      <c r="Q94" s="46">
        <v>14</v>
      </c>
      <c r="R94">
        <v>2</v>
      </c>
    </row>
    <row r="95" spans="1:18" x14ac:dyDescent="0.25">
      <c r="A95">
        <v>94</v>
      </c>
      <c r="B95" t="s">
        <v>369</v>
      </c>
      <c r="C95" t="s">
        <v>359</v>
      </c>
      <c r="D95" s="7">
        <v>42481</v>
      </c>
      <c r="E95" t="s">
        <v>146</v>
      </c>
      <c r="G95" t="str">
        <f t="shared" si="4"/>
        <v>Ref</v>
      </c>
      <c r="H95">
        <v>0.34</v>
      </c>
      <c r="I95">
        <v>0.186</v>
      </c>
      <c r="J95">
        <f t="shared" si="5"/>
        <v>0.15400000000000003</v>
      </c>
      <c r="K95">
        <f t="shared" si="6"/>
        <v>0.52600000000000002</v>
      </c>
      <c r="L95">
        <f t="shared" si="7"/>
        <v>9.2999999999999999E-2</v>
      </c>
      <c r="M95" t="s">
        <v>360</v>
      </c>
      <c r="N95" t="s">
        <v>361</v>
      </c>
      <c r="O95">
        <v>8</v>
      </c>
      <c r="P95">
        <v>9.2999999999999999E-2</v>
      </c>
      <c r="Q95" s="46">
        <v>28</v>
      </c>
      <c r="R95">
        <v>2</v>
      </c>
    </row>
    <row r="96" spans="1:18" x14ac:dyDescent="0.25">
      <c r="A96">
        <v>95</v>
      </c>
      <c r="B96" t="s">
        <v>369</v>
      </c>
      <c r="C96" t="s">
        <v>359</v>
      </c>
      <c r="D96" s="7">
        <v>42481</v>
      </c>
      <c r="E96" t="s">
        <v>147</v>
      </c>
      <c r="G96" t="str">
        <f t="shared" si="4"/>
        <v>Ref</v>
      </c>
      <c r="H96">
        <v>0.42</v>
      </c>
      <c r="I96">
        <v>0.28000000000000003</v>
      </c>
      <c r="J96">
        <f t="shared" si="5"/>
        <v>0.13999999999999996</v>
      </c>
      <c r="K96">
        <f t="shared" si="6"/>
        <v>0.7</v>
      </c>
      <c r="L96">
        <f t="shared" si="7"/>
        <v>0.14000000000000001</v>
      </c>
      <c r="M96" t="s">
        <v>360</v>
      </c>
      <c r="N96" t="s">
        <v>361</v>
      </c>
      <c r="O96">
        <v>8</v>
      </c>
      <c r="P96">
        <v>0.14000000000000001</v>
      </c>
      <c r="Q96" s="46">
        <v>34</v>
      </c>
      <c r="R96">
        <v>2</v>
      </c>
    </row>
    <row r="97" spans="1:18" x14ac:dyDescent="0.25">
      <c r="A97">
        <v>96</v>
      </c>
      <c r="B97" t="s">
        <v>369</v>
      </c>
      <c r="C97" t="s">
        <v>359</v>
      </c>
      <c r="D97" s="7">
        <v>42481</v>
      </c>
      <c r="E97" t="s">
        <v>148</v>
      </c>
      <c r="G97" t="str">
        <f t="shared" si="4"/>
        <v>Ref</v>
      </c>
      <c r="H97">
        <v>2.6</v>
      </c>
      <c r="I97">
        <v>0.74</v>
      </c>
      <c r="J97">
        <f t="shared" si="5"/>
        <v>1.86</v>
      </c>
      <c r="K97">
        <f t="shared" si="6"/>
        <v>3.34</v>
      </c>
      <c r="L97">
        <f t="shared" si="7"/>
        <v>0.37</v>
      </c>
      <c r="M97" t="s">
        <v>360</v>
      </c>
      <c r="N97" t="s">
        <v>361</v>
      </c>
      <c r="O97">
        <v>16</v>
      </c>
      <c r="P97">
        <v>0.37</v>
      </c>
      <c r="Q97" s="46">
        <v>14</v>
      </c>
      <c r="R97">
        <v>2</v>
      </c>
    </row>
    <row r="98" spans="1:18" x14ac:dyDescent="0.25">
      <c r="A98">
        <v>97</v>
      </c>
      <c r="B98" t="s">
        <v>369</v>
      </c>
      <c r="C98" t="s">
        <v>359</v>
      </c>
      <c r="D98" s="7">
        <v>42481</v>
      </c>
      <c r="E98" t="s">
        <v>149</v>
      </c>
      <c r="G98" t="str">
        <f t="shared" si="4"/>
        <v>Ref</v>
      </c>
      <c r="H98">
        <v>2.1</v>
      </c>
      <c r="I98">
        <v>0.74</v>
      </c>
      <c r="J98">
        <f t="shared" si="5"/>
        <v>1.36</v>
      </c>
      <c r="K98">
        <f t="shared" si="6"/>
        <v>2.84</v>
      </c>
      <c r="L98">
        <f t="shared" si="7"/>
        <v>0.37</v>
      </c>
      <c r="M98" t="s">
        <v>360</v>
      </c>
      <c r="N98" t="s">
        <v>361</v>
      </c>
      <c r="O98">
        <v>12</v>
      </c>
      <c r="P98">
        <v>0.37</v>
      </c>
      <c r="Q98" s="46">
        <v>18</v>
      </c>
      <c r="R98">
        <v>2</v>
      </c>
    </row>
    <row r="99" spans="1:18" x14ac:dyDescent="0.25">
      <c r="A99">
        <v>98</v>
      </c>
      <c r="B99" t="s">
        <v>369</v>
      </c>
      <c r="C99" t="s">
        <v>359</v>
      </c>
      <c r="D99" s="7">
        <v>42481</v>
      </c>
      <c r="E99" t="s">
        <v>150</v>
      </c>
      <c r="G99" t="str">
        <f t="shared" si="4"/>
        <v>Ref</v>
      </c>
      <c r="H99">
        <v>0.76</v>
      </c>
      <c r="I99">
        <v>0.34</v>
      </c>
      <c r="J99">
        <f t="shared" si="5"/>
        <v>0.42</v>
      </c>
      <c r="K99">
        <f t="shared" si="6"/>
        <v>1.1000000000000001</v>
      </c>
      <c r="L99">
        <f t="shared" si="7"/>
        <v>0.17</v>
      </c>
      <c r="M99" t="s">
        <v>360</v>
      </c>
      <c r="N99" t="s">
        <v>361</v>
      </c>
      <c r="O99">
        <v>10</v>
      </c>
      <c r="P99">
        <v>0.17</v>
      </c>
      <c r="Q99" s="46">
        <v>22</v>
      </c>
      <c r="R99">
        <v>2</v>
      </c>
    </row>
    <row r="100" spans="1:18" x14ac:dyDescent="0.25">
      <c r="A100">
        <v>99</v>
      </c>
      <c r="B100" t="s">
        <v>369</v>
      </c>
      <c r="C100" t="s">
        <v>359</v>
      </c>
      <c r="D100" s="7">
        <v>42481</v>
      </c>
      <c r="E100" t="s">
        <v>151</v>
      </c>
      <c r="G100" t="str">
        <f t="shared" si="4"/>
        <v>Ref</v>
      </c>
      <c r="H100">
        <v>120</v>
      </c>
      <c r="I100">
        <v>42</v>
      </c>
      <c r="J100">
        <f t="shared" si="5"/>
        <v>78</v>
      </c>
      <c r="K100">
        <f t="shared" si="6"/>
        <v>162</v>
      </c>
      <c r="L100">
        <f t="shared" si="7"/>
        <v>21</v>
      </c>
      <c r="M100" t="s">
        <v>360</v>
      </c>
      <c r="N100" t="s">
        <v>361</v>
      </c>
      <c r="O100">
        <v>19</v>
      </c>
      <c r="P100">
        <v>21</v>
      </c>
      <c r="Q100" s="46">
        <v>17</v>
      </c>
      <c r="R100">
        <v>2</v>
      </c>
    </row>
    <row r="101" spans="1:18" x14ac:dyDescent="0.25">
      <c r="A101">
        <v>100</v>
      </c>
      <c r="B101" t="s">
        <v>369</v>
      </c>
      <c r="C101" t="s">
        <v>359</v>
      </c>
      <c r="D101" s="7">
        <v>42481</v>
      </c>
      <c r="E101" t="s">
        <v>152</v>
      </c>
      <c r="G101" t="str">
        <f t="shared" si="4"/>
        <v>Ref</v>
      </c>
      <c r="H101">
        <v>4.9000000000000004</v>
      </c>
      <c r="I101">
        <v>1.72</v>
      </c>
      <c r="J101">
        <f t="shared" si="5"/>
        <v>3.1800000000000006</v>
      </c>
      <c r="K101">
        <f t="shared" si="6"/>
        <v>6.62</v>
      </c>
      <c r="L101">
        <f t="shared" si="7"/>
        <v>0.86</v>
      </c>
      <c r="M101" t="s">
        <v>360</v>
      </c>
      <c r="N101" t="s">
        <v>361</v>
      </c>
      <c r="O101">
        <v>17</v>
      </c>
      <c r="P101">
        <v>0.86</v>
      </c>
      <c r="Q101" s="46">
        <v>17</v>
      </c>
      <c r="R101">
        <v>2</v>
      </c>
    </row>
    <row r="102" spans="1:18" x14ac:dyDescent="0.25">
      <c r="A102">
        <v>101</v>
      </c>
      <c r="B102" t="s">
        <v>369</v>
      </c>
      <c r="C102" t="s">
        <v>359</v>
      </c>
      <c r="D102" s="7">
        <v>42481</v>
      </c>
      <c r="E102" t="s">
        <v>153</v>
      </c>
      <c r="G102" t="str">
        <f t="shared" si="4"/>
        <v>Ref</v>
      </c>
      <c r="H102">
        <v>5.2</v>
      </c>
      <c r="I102">
        <v>2.6</v>
      </c>
      <c r="J102">
        <f t="shared" si="5"/>
        <v>2.6</v>
      </c>
      <c r="K102">
        <f t="shared" si="6"/>
        <v>7.8000000000000007</v>
      </c>
      <c r="L102">
        <f t="shared" si="7"/>
        <v>1.3</v>
      </c>
      <c r="M102" t="s">
        <v>360</v>
      </c>
      <c r="N102" t="s">
        <v>361</v>
      </c>
      <c r="O102">
        <v>17</v>
      </c>
      <c r="P102">
        <v>1.3</v>
      </c>
      <c r="Q102" s="46">
        <v>25</v>
      </c>
      <c r="R102">
        <v>2</v>
      </c>
    </row>
    <row r="103" spans="1:18" x14ac:dyDescent="0.25">
      <c r="A103">
        <v>102</v>
      </c>
      <c r="B103" t="s">
        <v>369</v>
      </c>
      <c r="C103" t="s">
        <v>359</v>
      </c>
      <c r="D103" s="7">
        <v>42481</v>
      </c>
      <c r="E103" t="s">
        <v>154</v>
      </c>
      <c r="G103" t="str">
        <f t="shared" si="4"/>
        <v>Ref</v>
      </c>
      <c r="H103">
        <v>4.7</v>
      </c>
      <c r="I103">
        <v>1.76</v>
      </c>
      <c r="J103">
        <f t="shared" si="5"/>
        <v>2.9400000000000004</v>
      </c>
      <c r="K103">
        <f t="shared" si="6"/>
        <v>6.46</v>
      </c>
      <c r="L103">
        <f t="shared" si="7"/>
        <v>0.88</v>
      </c>
      <c r="M103" t="s">
        <v>360</v>
      </c>
      <c r="N103" t="s">
        <v>361</v>
      </c>
      <c r="O103">
        <v>12</v>
      </c>
      <c r="P103">
        <v>0.88</v>
      </c>
      <c r="Q103" s="46">
        <v>19</v>
      </c>
      <c r="R103">
        <v>2</v>
      </c>
    </row>
    <row r="104" spans="1:18" x14ac:dyDescent="0.25">
      <c r="A104">
        <v>103</v>
      </c>
      <c r="B104" t="s">
        <v>369</v>
      </c>
      <c r="C104" t="s">
        <v>359</v>
      </c>
      <c r="D104" s="7">
        <v>42481</v>
      </c>
      <c r="E104" t="s">
        <v>155</v>
      </c>
      <c r="G104" t="str">
        <f t="shared" si="4"/>
        <v>Ref</v>
      </c>
      <c r="H104">
        <v>240</v>
      </c>
      <c r="I104">
        <v>94</v>
      </c>
      <c r="J104">
        <f t="shared" si="5"/>
        <v>146</v>
      </c>
      <c r="K104">
        <f t="shared" si="6"/>
        <v>334</v>
      </c>
      <c r="L104">
        <f t="shared" si="7"/>
        <v>47</v>
      </c>
      <c r="M104" t="s">
        <v>360</v>
      </c>
      <c r="N104" t="s">
        <v>361</v>
      </c>
      <c r="O104">
        <v>18</v>
      </c>
      <c r="P104">
        <v>47</v>
      </c>
      <c r="Q104" s="46">
        <v>19</v>
      </c>
      <c r="R104">
        <v>2</v>
      </c>
    </row>
    <row r="105" spans="1:18" x14ac:dyDescent="0.25">
      <c r="A105">
        <v>104</v>
      </c>
      <c r="B105" t="s">
        <v>369</v>
      </c>
      <c r="C105" t="s">
        <v>359</v>
      </c>
      <c r="D105" s="7">
        <v>42481</v>
      </c>
      <c r="E105" t="s">
        <v>156</v>
      </c>
      <c r="G105" t="str">
        <f t="shared" si="4"/>
        <v>Ref</v>
      </c>
      <c r="H105">
        <v>12</v>
      </c>
      <c r="I105">
        <v>3.4</v>
      </c>
      <c r="J105">
        <f t="shared" si="5"/>
        <v>8.6</v>
      </c>
      <c r="K105">
        <f t="shared" si="6"/>
        <v>15.4</v>
      </c>
      <c r="L105">
        <f t="shared" si="7"/>
        <v>1.7</v>
      </c>
      <c r="M105" t="s">
        <v>360</v>
      </c>
      <c r="N105" t="s">
        <v>361</v>
      </c>
      <c r="O105">
        <v>18</v>
      </c>
      <c r="P105">
        <v>1.7</v>
      </c>
      <c r="Q105" s="46">
        <v>14</v>
      </c>
      <c r="R105">
        <v>2</v>
      </c>
    </row>
    <row r="106" spans="1:18" x14ac:dyDescent="0.25">
      <c r="A106">
        <v>105</v>
      </c>
      <c r="B106" t="s">
        <v>369</v>
      </c>
      <c r="C106" t="s">
        <v>359</v>
      </c>
      <c r="D106" s="7">
        <v>42481</v>
      </c>
      <c r="E106" t="s">
        <v>157</v>
      </c>
      <c r="G106" t="str">
        <f t="shared" si="4"/>
        <v>Ref</v>
      </c>
      <c r="H106" s="1">
        <v>1</v>
      </c>
      <c r="I106">
        <v>0.5</v>
      </c>
      <c r="J106">
        <f t="shared" si="5"/>
        <v>0.5</v>
      </c>
      <c r="K106">
        <f t="shared" si="6"/>
        <v>1.5</v>
      </c>
      <c r="L106">
        <f t="shared" si="7"/>
        <v>0.25</v>
      </c>
      <c r="M106" t="s">
        <v>360</v>
      </c>
      <c r="N106" t="s">
        <v>361</v>
      </c>
      <c r="O106">
        <v>9</v>
      </c>
      <c r="P106">
        <v>0.25</v>
      </c>
      <c r="Q106" s="46">
        <v>24</v>
      </c>
      <c r="R106">
        <v>2</v>
      </c>
    </row>
    <row r="107" spans="1:18" x14ac:dyDescent="0.25">
      <c r="A107">
        <v>106</v>
      </c>
      <c r="B107" t="s">
        <v>369</v>
      </c>
      <c r="C107" t="s">
        <v>359</v>
      </c>
      <c r="D107" s="7">
        <v>42481</v>
      </c>
      <c r="E107" t="s">
        <v>158</v>
      </c>
      <c r="G107" t="str">
        <f t="shared" si="4"/>
        <v>Ref</v>
      </c>
      <c r="H107">
        <v>3.4000000000000002E-2</v>
      </c>
      <c r="I107">
        <v>8.9999999999999993E-3</v>
      </c>
      <c r="J107">
        <f t="shared" si="5"/>
        <v>2.5000000000000001E-2</v>
      </c>
      <c r="K107">
        <f t="shared" si="6"/>
        <v>4.3000000000000003E-2</v>
      </c>
      <c r="L107">
        <f t="shared" si="7"/>
        <v>4.4999999999999997E-3</v>
      </c>
      <c r="M107" t="s">
        <v>360</v>
      </c>
      <c r="N107" t="s">
        <v>361</v>
      </c>
      <c r="O107">
        <v>5</v>
      </c>
      <c r="P107">
        <v>4.4999999999999997E-3</v>
      </c>
      <c r="Q107" s="46">
        <v>13</v>
      </c>
      <c r="R107">
        <v>2</v>
      </c>
    </row>
    <row r="108" spans="1:18" x14ac:dyDescent="0.25">
      <c r="A108">
        <v>107</v>
      </c>
      <c r="B108" t="s">
        <v>369</v>
      </c>
      <c r="C108" t="s">
        <v>359</v>
      </c>
      <c r="D108" s="7">
        <v>42481</v>
      </c>
      <c r="E108" t="s">
        <v>159</v>
      </c>
      <c r="G108" t="str">
        <f t="shared" si="4"/>
        <v>Ref</v>
      </c>
      <c r="H108">
        <v>26</v>
      </c>
      <c r="I108">
        <v>9.1999999999999993</v>
      </c>
      <c r="J108">
        <f t="shared" si="5"/>
        <v>16.8</v>
      </c>
      <c r="K108">
        <f t="shared" si="6"/>
        <v>35.200000000000003</v>
      </c>
      <c r="L108">
        <f t="shared" si="7"/>
        <v>4.5999999999999996</v>
      </c>
      <c r="M108" t="s">
        <v>360</v>
      </c>
      <c r="N108" t="s">
        <v>361</v>
      </c>
      <c r="O108">
        <v>17</v>
      </c>
      <c r="P108">
        <v>4.5999999999999996</v>
      </c>
      <c r="Q108" s="46">
        <v>17</v>
      </c>
      <c r="R108">
        <v>2</v>
      </c>
    </row>
    <row r="109" spans="1:18" x14ac:dyDescent="0.25">
      <c r="A109">
        <v>108</v>
      </c>
      <c r="B109" t="s">
        <v>369</v>
      </c>
      <c r="C109" t="s">
        <v>359</v>
      </c>
      <c r="D109" s="7">
        <v>42481</v>
      </c>
      <c r="E109" t="s">
        <v>160</v>
      </c>
      <c r="G109" t="str">
        <f t="shared" si="4"/>
        <v>Ref</v>
      </c>
      <c r="H109">
        <v>3.5</v>
      </c>
      <c r="I109">
        <v>1.98</v>
      </c>
      <c r="J109">
        <f t="shared" si="5"/>
        <v>1.52</v>
      </c>
      <c r="K109">
        <f t="shared" si="6"/>
        <v>5.48</v>
      </c>
      <c r="L109">
        <f t="shared" si="7"/>
        <v>0.99</v>
      </c>
      <c r="M109" t="s">
        <v>360</v>
      </c>
      <c r="N109" t="s">
        <v>361</v>
      </c>
      <c r="O109">
        <v>16</v>
      </c>
      <c r="P109">
        <v>0.99</v>
      </c>
      <c r="Q109" s="46">
        <v>28</v>
      </c>
      <c r="R109">
        <v>2</v>
      </c>
    </row>
    <row r="110" spans="1:18" x14ac:dyDescent="0.25">
      <c r="A110">
        <v>109</v>
      </c>
      <c r="B110" t="s">
        <v>369</v>
      </c>
      <c r="C110" t="s">
        <v>359</v>
      </c>
      <c r="D110" s="7">
        <v>42481</v>
      </c>
      <c r="E110" t="s">
        <v>161</v>
      </c>
      <c r="G110" t="str">
        <f t="shared" si="4"/>
        <v>Ref</v>
      </c>
      <c r="H110">
        <v>140</v>
      </c>
      <c r="I110">
        <v>50</v>
      </c>
      <c r="J110">
        <f t="shared" si="5"/>
        <v>90</v>
      </c>
      <c r="K110">
        <f t="shared" si="6"/>
        <v>190</v>
      </c>
      <c r="L110">
        <f t="shared" si="7"/>
        <v>25</v>
      </c>
      <c r="M110" t="s">
        <v>360</v>
      </c>
      <c r="N110" t="s">
        <v>361</v>
      </c>
      <c r="O110">
        <v>18</v>
      </c>
      <c r="P110">
        <v>25</v>
      </c>
      <c r="Q110" s="46">
        <v>17</v>
      </c>
      <c r="R110">
        <v>2</v>
      </c>
    </row>
    <row r="111" spans="1:18" x14ac:dyDescent="0.25">
      <c r="A111">
        <v>110</v>
      </c>
      <c r="B111" t="s">
        <v>369</v>
      </c>
      <c r="C111" t="s">
        <v>359</v>
      </c>
      <c r="D111" s="7">
        <v>42481</v>
      </c>
      <c r="E111" t="s">
        <v>162</v>
      </c>
      <c r="G111" t="str">
        <f t="shared" si="4"/>
        <v>Ref</v>
      </c>
      <c r="H111">
        <v>7.4</v>
      </c>
      <c r="I111">
        <v>3.4</v>
      </c>
      <c r="J111">
        <f t="shared" si="5"/>
        <v>4</v>
      </c>
      <c r="K111">
        <f t="shared" si="6"/>
        <v>10.8</v>
      </c>
      <c r="L111">
        <f t="shared" si="7"/>
        <v>1.7</v>
      </c>
      <c r="M111" t="s">
        <v>360</v>
      </c>
      <c r="N111" t="s">
        <v>361</v>
      </c>
      <c r="O111">
        <v>17</v>
      </c>
      <c r="P111">
        <v>1.7</v>
      </c>
      <c r="Q111" s="46">
        <v>22</v>
      </c>
      <c r="R111">
        <v>2</v>
      </c>
    </row>
    <row r="112" spans="1:18" x14ac:dyDescent="0.25">
      <c r="A112">
        <v>111</v>
      </c>
      <c r="B112" t="s">
        <v>369</v>
      </c>
      <c r="C112" t="s">
        <v>359</v>
      </c>
      <c r="D112" s="7">
        <v>42481</v>
      </c>
      <c r="E112" t="s">
        <v>163</v>
      </c>
      <c r="G112" t="str">
        <f t="shared" si="4"/>
        <v>Ref</v>
      </c>
      <c r="H112">
        <v>100</v>
      </c>
      <c r="I112">
        <v>28</v>
      </c>
      <c r="J112">
        <f t="shared" si="5"/>
        <v>72</v>
      </c>
      <c r="K112">
        <f t="shared" si="6"/>
        <v>128</v>
      </c>
      <c r="L112">
        <f t="shared" si="7"/>
        <v>14</v>
      </c>
      <c r="M112" t="s">
        <v>360</v>
      </c>
      <c r="N112" t="s">
        <v>361</v>
      </c>
      <c r="O112">
        <v>17</v>
      </c>
      <c r="P112">
        <v>14</v>
      </c>
      <c r="Q112" s="46">
        <v>14</v>
      </c>
      <c r="R112">
        <v>2</v>
      </c>
    </row>
    <row r="113" spans="1:18" x14ac:dyDescent="0.25">
      <c r="A113">
        <v>112</v>
      </c>
      <c r="B113" t="s">
        <v>369</v>
      </c>
      <c r="C113" t="s">
        <v>359</v>
      </c>
      <c r="D113" s="7">
        <v>42481</v>
      </c>
      <c r="E113" t="s">
        <v>164</v>
      </c>
      <c r="G113" t="str">
        <f t="shared" si="4"/>
        <v>Ref</v>
      </c>
      <c r="H113">
        <v>3.7</v>
      </c>
      <c r="I113">
        <v>1.64</v>
      </c>
      <c r="J113">
        <f t="shared" si="5"/>
        <v>2.0600000000000005</v>
      </c>
      <c r="K113">
        <f t="shared" si="6"/>
        <v>5.34</v>
      </c>
      <c r="L113">
        <f t="shared" si="7"/>
        <v>0.82</v>
      </c>
      <c r="M113" t="s">
        <v>360</v>
      </c>
      <c r="N113" t="s">
        <v>361</v>
      </c>
      <c r="O113">
        <v>12</v>
      </c>
      <c r="P113">
        <v>0.82</v>
      </c>
      <c r="Q113" s="46">
        <v>22</v>
      </c>
      <c r="R113">
        <v>2</v>
      </c>
    </row>
    <row r="114" spans="1:18" x14ac:dyDescent="0.25">
      <c r="A114">
        <v>113</v>
      </c>
      <c r="B114" t="s">
        <v>369</v>
      </c>
      <c r="C114" t="s">
        <v>359</v>
      </c>
      <c r="D114" s="7">
        <v>42481</v>
      </c>
      <c r="E114" t="s">
        <v>165</v>
      </c>
      <c r="G114" t="str">
        <f t="shared" si="4"/>
        <v>Ref</v>
      </c>
      <c r="H114">
        <v>150</v>
      </c>
      <c r="I114">
        <v>56</v>
      </c>
      <c r="J114">
        <f t="shared" si="5"/>
        <v>94</v>
      </c>
      <c r="K114">
        <f t="shared" si="6"/>
        <v>206</v>
      </c>
      <c r="L114">
        <f t="shared" si="7"/>
        <v>28</v>
      </c>
      <c r="M114" t="s">
        <v>360</v>
      </c>
      <c r="N114" t="s">
        <v>361</v>
      </c>
      <c r="O114">
        <v>19</v>
      </c>
      <c r="P114">
        <v>28</v>
      </c>
      <c r="Q114" s="46">
        <v>19</v>
      </c>
      <c r="R114">
        <v>2</v>
      </c>
    </row>
    <row r="115" spans="1:18" x14ac:dyDescent="0.25">
      <c r="A115">
        <v>114</v>
      </c>
      <c r="B115" t="s">
        <v>369</v>
      </c>
      <c r="C115" t="s">
        <v>359</v>
      </c>
      <c r="D115" s="7">
        <v>42481</v>
      </c>
      <c r="E115" t="s">
        <v>166</v>
      </c>
      <c r="G115" t="str">
        <f t="shared" si="4"/>
        <v>Ref</v>
      </c>
      <c r="H115">
        <v>12</v>
      </c>
      <c r="I115">
        <v>2.8</v>
      </c>
      <c r="J115">
        <f t="shared" si="5"/>
        <v>9.1999999999999993</v>
      </c>
      <c r="K115">
        <f t="shared" si="6"/>
        <v>14.8</v>
      </c>
      <c r="L115">
        <f t="shared" si="7"/>
        <v>1.4</v>
      </c>
      <c r="M115" t="s">
        <v>360</v>
      </c>
      <c r="N115" t="s">
        <v>361</v>
      </c>
      <c r="O115">
        <v>17</v>
      </c>
      <c r="P115">
        <v>1.4</v>
      </c>
      <c r="Q115" s="46">
        <v>12</v>
      </c>
      <c r="R115">
        <v>2</v>
      </c>
    </row>
    <row r="116" spans="1:18" x14ac:dyDescent="0.25">
      <c r="A116">
        <v>115</v>
      </c>
      <c r="B116" t="s">
        <v>369</v>
      </c>
      <c r="C116" t="s">
        <v>359</v>
      </c>
      <c r="D116" s="7">
        <v>42481</v>
      </c>
      <c r="E116" t="s">
        <v>167</v>
      </c>
      <c r="G116" t="str">
        <f t="shared" si="4"/>
        <v>Ref</v>
      </c>
      <c r="H116">
        <v>11</v>
      </c>
      <c r="I116">
        <v>3.6</v>
      </c>
      <c r="J116">
        <f t="shared" si="5"/>
        <v>7.4</v>
      </c>
      <c r="K116">
        <f t="shared" si="6"/>
        <v>14.6</v>
      </c>
      <c r="L116">
        <f t="shared" si="7"/>
        <v>1.8</v>
      </c>
      <c r="M116" t="s">
        <v>360</v>
      </c>
      <c r="N116" t="s">
        <v>361</v>
      </c>
      <c r="O116">
        <v>16</v>
      </c>
      <c r="P116">
        <v>1.8</v>
      </c>
      <c r="Q116" s="46">
        <v>17</v>
      </c>
      <c r="R116">
        <v>2</v>
      </c>
    </row>
    <row r="117" spans="1:18" x14ac:dyDescent="0.25">
      <c r="A117">
        <v>116</v>
      </c>
      <c r="B117" t="s">
        <v>369</v>
      </c>
      <c r="C117" t="s">
        <v>359</v>
      </c>
      <c r="D117" s="7">
        <v>42481</v>
      </c>
      <c r="E117" t="s">
        <v>168</v>
      </c>
      <c r="G117" t="str">
        <f t="shared" si="4"/>
        <v>Ref</v>
      </c>
      <c r="H117">
        <v>6.9</v>
      </c>
      <c r="I117">
        <v>3.2</v>
      </c>
      <c r="J117">
        <f t="shared" si="5"/>
        <v>3.7</v>
      </c>
      <c r="K117">
        <f t="shared" si="6"/>
        <v>10.100000000000001</v>
      </c>
      <c r="L117">
        <f t="shared" si="7"/>
        <v>1.6</v>
      </c>
      <c r="M117" t="s">
        <v>360</v>
      </c>
      <c r="N117" t="s">
        <v>361</v>
      </c>
      <c r="O117">
        <v>11</v>
      </c>
      <c r="P117">
        <v>1.6</v>
      </c>
      <c r="Q117" s="46">
        <v>23</v>
      </c>
      <c r="R117">
        <v>2</v>
      </c>
    </row>
    <row r="118" spans="1:18" x14ac:dyDescent="0.25">
      <c r="A118">
        <v>117</v>
      </c>
      <c r="B118" t="s">
        <v>369</v>
      </c>
      <c r="C118" t="s">
        <v>359</v>
      </c>
      <c r="D118" s="7">
        <v>42481</v>
      </c>
      <c r="E118" t="s">
        <v>169</v>
      </c>
      <c r="G118" t="str">
        <f t="shared" si="4"/>
        <v>Ref</v>
      </c>
      <c r="H118">
        <v>0.3</v>
      </c>
      <c r="I118">
        <v>0.188</v>
      </c>
      <c r="J118">
        <f t="shared" si="5"/>
        <v>0.11199999999999999</v>
      </c>
      <c r="K118">
        <f t="shared" si="6"/>
        <v>0.48799999999999999</v>
      </c>
      <c r="L118">
        <f t="shared" si="7"/>
        <v>9.4E-2</v>
      </c>
      <c r="M118" t="s">
        <v>360</v>
      </c>
      <c r="N118" t="s">
        <v>361</v>
      </c>
      <c r="O118">
        <v>5</v>
      </c>
      <c r="P118">
        <v>9.4E-2</v>
      </c>
      <c r="Q118" s="46">
        <v>31</v>
      </c>
      <c r="R118">
        <v>2</v>
      </c>
    </row>
    <row r="119" spans="1:18" x14ac:dyDescent="0.25">
      <c r="A119">
        <v>118</v>
      </c>
      <c r="B119" t="s">
        <v>369</v>
      </c>
      <c r="C119" t="s">
        <v>359</v>
      </c>
      <c r="D119" s="7">
        <v>42481</v>
      </c>
      <c r="E119" t="s">
        <v>170</v>
      </c>
      <c r="G119" t="str">
        <f t="shared" si="4"/>
        <v>Ref</v>
      </c>
      <c r="H119">
        <v>0.28000000000000003</v>
      </c>
      <c r="I119">
        <v>0.17599999999999999</v>
      </c>
      <c r="J119">
        <f t="shared" si="5"/>
        <v>0.10400000000000004</v>
      </c>
      <c r="K119">
        <f t="shared" si="6"/>
        <v>0.45600000000000002</v>
      </c>
      <c r="L119">
        <f t="shared" si="7"/>
        <v>8.7999999999999995E-2</v>
      </c>
      <c r="M119" t="s">
        <v>360</v>
      </c>
      <c r="N119" t="s">
        <v>361</v>
      </c>
      <c r="O119">
        <v>8</v>
      </c>
      <c r="P119">
        <v>8.7999999999999995E-2</v>
      </c>
      <c r="Q119" s="46">
        <v>32</v>
      </c>
      <c r="R119">
        <v>2</v>
      </c>
    </row>
    <row r="120" spans="1:18" x14ac:dyDescent="0.25">
      <c r="A120">
        <v>119</v>
      </c>
      <c r="B120" t="s">
        <v>369</v>
      </c>
      <c r="C120" t="s">
        <v>359</v>
      </c>
      <c r="D120" s="7">
        <v>42481</v>
      </c>
      <c r="E120" t="s">
        <v>171</v>
      </c>
      <c r="G120" t="str">
        <f t="shared" si="4"/>
        <v>Ref</v>
      </c>
      <c r="H120">
        <v>2.2999999999999998</v>
      </c>
      <c r="I120">
        <v>0.4</v>
      </c>
      <c r="J120">
        <f t="shared" si="5"/>
        <v>1.9</v>
      </c>
      <c r="K120">
        <f t="shared" si="6"/>
        <v>2.6999999999999997</v>
      </c>
      <c r="L120">
        <f t="shared" si="7"/>
        <v>0.2</v>
      </c>
      <c r="M120" t="s">
        <v>360</v>
      </c>
      <c r="N120" t="s">
        <v>361</v>
      </c>
      <c r="O120">
        <v>15</v>
      </c>
      <c r="P120">
        <v>0.2</v>
      </c>
      <c r="Q120" s="46">
        <v>9</v>
      </c>
      <c r="R120">
        <v>2</v>
      </c>
    </row>
    <row r="121" spans="1:18" x14ac:dyDescent="0.25">
      <c r="A121">
        <v>120</v>
      </c>
      <c r="B121" t="s">
        <v>369</v>
      </c>
      <c r="C121" t="s">
        <v>359</v>
      </c>
      <c r="D121" s="7">
        <v>42481</v>
      </c>
      <c r="E121" t="s">
        <v>172</v>
      </c>
      <c r="G121" t="str">
        <f t="shared" si="4"/>
        <v>Ref</v>
      </c>
      <c r="H121">
        <v>0.98</v>
      </c>
      <c r="I121">
        <v>0.64</v>
      </c>
      <c r="J121">
        <f t="shared" si="5"/>
        <v>0.33999999999999997</v>
      </c>
      <c r="K121">
        <f t="shared" si="6"/>
        <v>1.62</v>
      </c>
      <c r="L121">
        <f t="shared" si="7"/>
        <v>0.32</v>
      </c>
      <c r="M121" t="s">
        <v>360</v>
      </c>
      <c r="N121" t="s">
        <v>361</v>
      </c>
      <c r="O121">
        <v>6</v>
      </c>
      <c r="P121">
        <v>0.32</v>
      </c>
      <c r="Q121" s="46">
        <v>32</v>
      </c>
      <c r="R121">
        <v>2</v>
      </c>
    </row>
    <row r="122" spans="1:18" x14ac:dyDescent="0.25">
      <c r="A122">
        <v>121</v>
      </c>
      <c r="B122" t="s">
        <v>369</v>
      </c>
      <c r="C122" t="s">
        <v>359</v>
      </c>
      <c r="D122" s="7">
        <v>42481</v>
      </c>
      <c r="E122" t="s">
        <v>173</v>
      </c>
      <c r="G122" t="str">
        <f t="shared" si="4"/>
        <v>Ref</v>
      </c>
      <c r="H122">
        <v>26</v>
      </c>
      <c r="I122">
        <v>10.4</v>
      </c>
      <c r="J122">
        <f t="shared" si="5"/>
        <v>15.6</v>
      </c>
      <c r="K122">
        <f t="shared" si="6"/>
        <v>36.4</v>
      </c>
      <c r="L122">
        <f t="shared" si="7"/>
        <v>5.2</v>
      </c>
      <c r="M122" t="s">
        <v>360</v>
      </c>
      <c r="N122" t="s">
        <v>361</v>
      </c>
      <c r="O122">
        <v>14</v>
      </c>
      <c r="P122">
        <v>5.2</v>
      </c>
      <c r="Q122" s="46">
        <v>20</v>
      </c>
      <c r="R122">
        <v>2</v>
      </c>
    </row>
    <row r="123" spans="1:18" x14ac:dyDescent="0.25">
      <c r="A123">
        <v>122</v>
      </c>
      <c r="B123" t="s">
        <v>369</v>
      </c>
      <c r="C123" t="s">
        <v>359</v>
      </c>
      <c r="D123" s="7">
        <v>42481</v>
      </c>
      <c r="E123" t="s">
        <v>174</v>
      </c>
      <c r="G123" t="str">
        <f t="shared" si="4"/>
        <v>Ref</v>
      </c>
      <c r="H123">
        <v>1.5</v>
      </c>
      <c r="I123">
        <v>1.02</v>
      </c>
      <c r="J123">
        <f t="shared" si="5"/>
        <v>0.48</v>
      </c>
      <c r="K123">
        <f t="shared" si="6"/>
        <v>2.52</v>
      </c>
      <c r="L123">
        <f t="shared" si="7"/>
        <v>0.51</v>
      </c>
      <c r="M123" t="s">
        <v>360</v>
      </c>
      <c r="N123" t="s">
        <v>361</v>
      </c>
      <c r="O123">
        <v>14</v>
      </c>
      <c r="P123">
        <v>0.51</v>
      </c>
      <c r="Q123" s="46">
        <v>34</v>
      </c>
      <c r="R123">
        <v>2</v>
      </c>
    </row>
    <row r="124" spans="1:18" x14ac:dyDescent="0.25">
      <c r="A124">
        <v>123</v>
      </c>
      <c r="B124" t="s">
        <v>369</v>
      </c>
      <c r="C124" t="s">
        <v>359</v>
      </c>
      <c r="D124" s="7">
        <v>42481</v>
      </c>
      <c r="E124" t="s">
        <v>175</v>
      </c>
      <c r="G124" t="str">
        <f t="shared" si="4"/>
        <v>Ref</v>
      </c>
      <c r="H124">
        <v>84</v>
      </c>
      <c r="I124">
        <v>28</v>
      </c>
      <c r="J124">
        <f t="shared" si="5"/>
        <v>56</v>
      </c>
      <c r="K124">
        <f t="shared" si="6"/>
        <v>112</v>
      </c>
      <c r="L124">
        <f t="shared" si="7"/>
        <v>14</v>
      </c>
      <c r="M124" t="s">
        <v>360</v>
      </c>
      <c r="N124" t="s">
        <v>361</v>
      </c>
      <c r="O124">
        <v>18</v>
      </c>
      <c r="P124">
        <v>14</v>
      </c>
      <c r="Q124" s="46">
        <v>17</v>
      </c>
      <c r="R124">
        <v>2</v>
      </c>
    </row>
    <row r="125" spans="1:18" x14ac:dyDescent="0.25">
      <c r="A125">
        <v>124</v>
      </c>
      <c r="B125" t="s">
        <v>369</v>
      </c>
      <c r="C125" t="s">
        <v>359</v>
      </c>
      <c r="D125" s="7">
        <v>42481</v>
      </c>
      <c r="E125" t="s">
        <v>176</v>
      </c>
      <c r="G125" t="str">
        <f t="shared" si="4"/>
        <v>Ref</v>
      </c>
      <c r="H125">
        <v>7.4</v>
      </c>
      <c r="I125">
        <v>4</v>
      </c>
      <c r="J125">
        <f t="shared" si="5"/>
        <v>3.4000000000000004</v>
      </c>
      <c r="K125">
        <f t="shared" si="6"/>
        <v>11.4</v>
      </c>
      <c r="L125">
        <f t="shared" si="7"/>
        <v>2</v>
      </c>
      <c r="M125" t="s">
        <v>360</v>
      </c>
      <c r="N125" t="s">
        <v>361</v>
      </c>
      <c r="O125">
        <v>12</v>
      </c>
      <c r="P125">
        <v>2</v>
      </c>
      <c r="Q125" s="46">
        <v>27</v>
      </c>
      <c r="R125">
        <v>2</v>
      </c>
    </row>
    <row r="126" spans="1:18" x14ac:dyDescent="0.25">
      <c r="A126">
        <v>125</v>
      </c>
      <c r="B126" t="s">
        <v>369</v>
      </c>
      <c r="C126" t="s">
        <v>359</v>
      </c>
      <c r="D126" s="7">
        <v>42481</v>
      </c>
      <c r="E126" t="s">
        <v>177</v>
      </c>
      <c r="G126" t="str">
        <f t="shared" si="4"/>
        <v>Ref</v>
      </c>
      <c r="H126">
        <v>42</v>
      </c>
      <c r="I126">
        <v>15.8</v>
      </c>
      <c r="J126">
        <f t="shared" si="5"/>
        <v>26.2</v>
      </c>
      <c r="K126">
        <f t="shared" si="6"/>
        <v>57.8</v>
      </c>
      <c r="L126">
        <f t="shared" si="7"/>
        <v>7.9</v>
      </c>
      <c r="M126" t="s">
        <v>360</v>
      </c>
      <c r="N126" t="s">
        <v>361</v>
      </c>
      <c r="O126">
        <v>18</v>
      </c>
      <c r="P126">
        <v>7.9</v>
      </c>
      <c r="Q126" s="46">
        <v>19</v>
      </c>
      <c r="R126">
        <v>2</v>
      </c>
    </row>
    <row r="127" spans="1:18" x14ac:dyDescent="0.25">
      <c r="A127">
        <v>126</v>
      </c>
      <c r="B127" t="s">
        <v>369</v>
      </c>
      <c r="C127" t="s">
        <v>359</v>
      </c>
      <c r="D127" s="7">
        <v>42481</v>
      </c>
      <c r="E127" t="s">
        <v>178</v>
      </c>
      <c r="G127" t="str">
        <f t="shared" si="4"/>
        <v>Ref</v>
      </c>
      <c r="H127">
        <v>11</v>
      </c>
      <c r="I127">
        <v>3.2</v>
      </c>
      <c r="J127">
        <f t="shared" si="5"/>
        <v>7.8</v>
      </c>
      <c r="K127">
        <f t="shared" si="6"/>
        <v>14.2</v>
      </c>
      <c r="L127">
        <f t="shared" si="7"/>
        <v>1.6</v>
      </c>
      <c r="M127" t="s">
        <v>360</v>
      </c>
      <c r="N127" t="s">
        <v>361</v>
      </c>
      <c r="O127">
        <v>16</v>
      </c>
      <c r="P127">
        <v>1.6</v>
      </c>
      <c r="Q127" s="46">
        <v>14</v>
      </c>
      <c r="R127">
        <v>2</v>
      </c>
    </row>
    <row r="128" spans="1:18" x14ac:dyDescent="0.25">
      <c r="A128">
        <v>127</v>
      </c>
      <c r="B128" t="s">
        <v>369</v>
      </c>
      <c r="C128" t="s">
        <v>359</v>
      </c>
      <c r="D128" s="7">
        <v>42481</v>
      </c>
      <c r="E128" t="s">
        <v>179</v>
      </c>
      <c r="G128" t="str">
        <f t="shared" si="4"/>
        <v>Ref</v>
      </c>
      <c r="H128">
        <v>41</v>
      </c>
      <c r="I128">
        <v>8.8000000000000007</v>
      </c>
      <c r="J128">
        <f t="shared" si="5"/>
        <v>32.200000000000003</v>
      </c>
      <c r="K128">
        <f t="shared" si="6"/>
        <v>49.8</v>
      </c>
      <c r="L128">
        <f t="shared" si="7"/>
        <v>4.4000000000000004</v>
      </c>
      <c r="M128" t="s">
        <v>360</v>
      </c>
      <c r="N128" t="s">
        <v>361</v>
      </c>
      <c r="O128">
        <v>18</v>
      </c>
      <c r="P128">
        <v>4.4000000000000004</v>
      </c>
      <c r="Q128" s="46">
        <v>11</v>
      </c>
      <c r="R128">
        <v>2</v>
      </c>
    </row>
    <row r="129" spans="1:18" x14ac:dyDescent="0.25">
      <c r="A129">
        <v>128</v>
      </c>
      <c r="B129" t="s">
        <v>369</v>
      </c>
      <c r="C129" t="s">
        <v>359</v>
      </c>
      <c r="D129" s="7">
        <v>42481</v>
      </c>
      <c r="E129" t="s">
        <v>180</v>
      </c>
      <c r="G129" t="str">
        <f t="shared" si="4"/>
        <v>Ref</v>
      </c>
      <c r="H129">
        <v>3.6</v>
      </c>
      <c r="I129">
        <v>2</v>
      </c>
      <c r="J129">
        <f t="shared" si="5"/>
        <v>1.6</v>
      </c>
      <c r="K129">
        <f t="shared" si="6"/>
        <v>5.6</v>
      </c>
      <c r="L129">
        <f t="shared" si="7"/>
        <v>1</v>
      </c>
      <c r="M129" t="s">
        <v>360</v>
      </c>
      <c r="N129" t="s">
        <v>361</v>
      </c>
      <c r="O129">
        <v>12</v>
      </c>
      <c r="P129">
        <v>1</v>
      </c>
      <c r="Q129" s="46">
        <v>29</v>
      </c>
      <c r="R129">
        <v>2</v>
      </c>
    </row>
    <row r="130" spans="1:18" x14ac:dyDescent="0.25">
      <c r="A130">
        <v>129</v>
      </c>
      <c r="B130" t="s">
        <v>369</v>
      </c>
      <c r="C130" t="s">
        <v>359</v>
      </c>
      <c r="D130" s="7">
        <v>42481</v>
      </c>
      <c r="E130" t="s">
        <v>181</v>
      </c>
      <c r="G130" t="str">
        <f t="shared" si="4"/>
        <v>Ref</v>
      </c>
      <c r="H130">
        <v>1.2</v>
      </c>
      <c r="I130">
        <v>0.78</v>
      </c>
      <c r="J130">
        <f t="shared" si="5"/>
        <v>0.41999999999999993</v>
      </c>
      <c r="K130">
        <f t="shared" si="6"/>
        <v>1.98</v>
      </c>
      <c r="L130">
        <f t="shared" si="7"/>
        <v>0.39</v>
      </c>
      <c r="M130" t="s">
        <v>360</v>
      </c>
      <c r="N130" t="s">
        <v>361</v>
      </c>
      <c r="O130">
        <v>10</v>
      </c>
      <c r="P130">
        <v>0.39</v>
      </c>
      <c r="Q130" s="46">
        <v>33</v>
      </c>
      <c r="R130">
        <v>2</v>
      </c>
    </row>
    <row r="131" spans="1:18" x14ac:dyDescent="0.25">
      <c r="A131">
        <v>130</v>
      </c>
      <c r="B131" t="s">
        <v>369</v>
      </c>
      <c r="C131" t="s">
        <v>359</v>
      </c>
      <c r="D131" s="7">
        <v>42481</v>
      </c>
      <c r="E131" t="s">
        <v>182</v>
      </c>
      <c r="G131" t="str">
        <f t="shared" ref="G131:G194" si="8">IF(Q131&gt;40,"NA",IF(O131&gt;=5,"Ref","Inf"))</f>
        <v>Ref</v>
      </c>
      <c r="H131">
        <v>2.9</v>
      </c>
      <c r="I131">
        <v>0.74</v>
      </c>
      <c r="J131">
        <f t="shared" ref="J131:J194" si="9">H131-I131</f>
        <v>2.16</v>
      </c>
      <c r="K131">
        <f t="shared" ref="K131:K194" si="10">H131+I131</f>
        <v>3.6399999999999997</v>
      </c>
      <c r="L131">
        <f t="shared" ref="L131:L194" si="11">I131/R131</f>
        <v>0.37</v>
      </c>
      <c r="M131" t="s">
        <v>360</v>
      </c>
      <c r="N131" t="s">
        <v>361</v>
      </c>
      <c r="O131">
        <v>18</v>
      </c>
      <c r="P131">
        <v>0.37</v>
      </c>
      <c r="Q131" s="46">
        <v>13</v>
      </c>
      <c r="R131">
        <v>2</v>
      </c>
    </row>
    <row r="132" spans="1:18" x14ac:dyDescent="0.25">
      <c r="A132">
        <v>131</v>
      </c>
      <c r="B132" t="s">
        <v>369</v>
      </c>
      <c r="C132" t="s">
        <v>359</v>
      </c>
      <c r="D132" s="7">
        <v>42481</v>
      </c>
      <c r="E132" t="s">
        <v>183</v>
      </c>
      <c r="G132" t="str">
        <f t="shared" si="8"/>
        <v>Ref</v>
      </c>
      <c r="H132">
        <v>6.9000000000000006E-2</v>
      </c>
      <c r="I132">
        <v>4.2000000000000003E-2</v>
      </c>
      <c r="J132">
        <f t="shared" si="9"/>
        <v>2.7000000000000003E-2</v>
      </c>
      <c r="K132">
        <f t="shared" si="10"/>
        <v>0.11100000000000002</v>
      </c>
      <c r="L132">
        <f t="shared" si="11"/>
        <v>2.1000000000000001E-2</v>
      </c>
      <c r="M132" t="s">
        <v>360</v>
      </c>
      <c r="N132" t="s">
        <v>361</v>
      </c>
      <c r="O132">
        <v>5</v>
      </c>
      <c r="P132">
        <v>2.1000000000000001E-2</v>
      </c>
      <c r="Q132" s="46">
        <v>30</v>
      </c>
      <c r="R132">
        <v>2</v>
      </c>
    </row>
    <row r="133" spans="1:18" x14ac:dyDescent="0.25">
      <c r="A133">
        <v>132</v>
      </c>
      <c r="B133" t="s">
        <v>369</v>
      </c>
      <c r="C133" t="s">
        <v>359</v>
      </c>
      <c r="D133" s="7">
        <v>42481</v>
      </c>
      <c r="E133" t="s">
        <v>184</v>
      </c>
      <c r="G133" t="str">
        <f t="shared" si="8"/>
        <v>Ref</v>
      </c>
      <c r="H133">
        <v>0.95</v>
      </c>
      <c r="I133">
        <v>0.76</v>
      </c>
      <c r="J133">
        <f t="shared" si="9"/>
        <v>0.18999999999999995</v>
      </c>
      <c r="K133">
        <f t="shared" si="10"/>
        <v>1.71</v>
      </c>
      <c r="L133">
        <f t="shared" si="11"/>
        <v>0.38</v>
      </c>
      <c r="M133" t="s">
        <v>360</v>
      </c>
      <c r="N133" t="s">
        <v>361</v>
      </c>
      <c r="O133">
        <v>8</v>
      </c>
      <c r="P133">
        <v>0.38</v>
      </c>
      <c r="Q133" s="46">
        <v>40</v>
      </c>
      <c r="R133">
        <v>2</v>
      </c>
    </row>
    <row r="134" spans="1:18" x14ac:dyDescent="0.25">
      <c r="A134">
        <v>133</v>
      </c>
      <c r="B134" t="s">
        <v>369</v>
      </c>
      <c r="C134" t="s">
        <v>359</v>
      </c>
      <c r="D134" s="7">
        <v>42481</v>
      </c>
      <c r="E134" t="s">
        <v>185</v>
      </c>
      <c r="G134" t="str">
        <f t="shared" si="8"/>
        <v>Ref</v>
      </c>
      <c r="H134">
        <v>6.7</v>
      </c>
      <c r="I134">
        <v>2.2000000000000002</v>
      </c>
      <c r="J134">
        <f t="shared" si="9"/>
        <v>4.5</v>
      </c>
      <c r="K134">
        <f t="shared" si="10"/>
        <v>8.9</v>
      </c>
      <c r="L134">
        <f t="shared" si="11"/>
        <v>1.1000000000000001</v>
      </c>
      <c r="M134" t="s">
        <v>360</v>
      </c>
      <c r="N134" t="s">
        <v>361</v>
      </c>
      <c r="O134">
        <v>18</v>
      </c>
      <c r="P134">
        <v>1.1000000000000001</v>
      </c>
      <c r="Q134" s="46">
        <v>16</v>
      </c>
      <c r="R134">
        <v>2</v>
      </c>
    </row>
    <row r="135" spans="1:18" x14ac:dyDescent="0.25">
      <c r="A135">
        <v>134</v>
      </c>
      <c r="B135" t="s">
        <v>369</v>
      </c>
      <c r="C135" t="s">
        <v>359</v>
      </c>
      <c r="D135" s="7">
        <v>42481</v>
      </c>
      <c r="E135" t="s">
        <v>186</v>
      </c>
      <c r="G135" t="str">
        <f t="shared" si="8"/>
        <v>Ref</v>
      </c>
      <c r="H135">
        <v>1.7</v>
      </c>
      <c r="I135">
        <v>0.9</v>
      </c>
      <c r="J135">
        <f t="shared" si="9"/>
        <v>0.79999999999999993</v>
      </c>
      <c r="K135">
        <f t="shared" si="10"/>
        <v>2.6</v>
      </c>
      <c r="L135">
        <f t="shared" si="11"/>
        <v>0.45</v>
      </c>
      <c r="M135" t="s">
        <v>360</v>
      </c>
      <c r="N135" t="s">
        <v>361</v>
      </c>
      <c r="O135">
        <v>12</v>
      </c>
      <c r="P135">
        <v>0.45</v>
      </c>
      <c r="Q135" s="46">
        <v>27</v>
      </c>
      <c r="R135">
        <v>2</v>
      </c>
    </row>
    <row r="136" spans="1:18" x14ac:dyDescent="0.25">
      <c r="A136">
        <v>135</v>
      </c>
      <c r="B136" t="s">
        <v>369</v>
      </c>
      <c r="C136" t="s">
        <v>359</v>
      </c>
      <c r="D136" s="7">
        <v>42481</v>
      </c>
      <c r="E136" t="s">
        <v>187</v>
      </c>
      <c r="G136" t="str">
        <f t="shared" si="8"/>
        <v>Ref</v>
      </c>
      <c r="H136">
        <v>14</v>
      </c>
      <c r="I136">
        <v>5.2</v>
      </c>
      <c r="J136">
        <f t="shared" si="9"/>
        <v>8.8000000000000007</v>
      </c>
      <c r="K136">
        <f t="shared" si="10"/>
        <v>19.2</v>
      </c>
      <c r="L136">
        <f t="shared" si="11"/>
        <v>2.6</v>
      </c>
      <c r="M136" t="s">
        <v>360</v>
      </c>
      <c r="N136" t="s">
        <v>361</v>
      </c>
      <c r="O136">
        <v>17</v>
      </c>
      <c r="P136">
        <v>2.6</v>
      </c>
      <c r="Q136" s="46">
        <v>19</v>
      </c>
      <c r="R136">
        <v>2</v>
      </c>
    </row>
    <row r="137" spans="1:18" x14ac:dyDescent="0.25">
      <c r="A137">
        <v>136</v>
      </c>
      <c r="B137" t="s">
        <v>369</v>
      </c>
      <c r="C137" t="s">
        <v>359</v>
      </c>
      <c r="D137" s="7">
        <v>42481</v>
      </c>
      <c r="E137" t="s">
        <v>188</v>
      </c>
      <c r="G137" t="str">
        <f t="shared" si="8"/>
        <v>Ref</v>
      </c>
      <c r="H137">
        <v>3.5</v>
      </c>
      <c r="I137">
        <v>1.52</v>
      </c>
      <c r="J137">
        <f t="shared" si="9"/>
        <v>1.98</v>
      </c>
      <c r="K137">
        <f t="shared" si="10"/>
        <v>5.0199999999999996</v>
      </c>
      <c r="L137">
        <f t="shared" si="11"/>
        <v>0.76</v>
      </c>
      <c r="M137" t="s">
        <v>360</v>
      </c>
      <c r="N137" t="s">
        <v>361</v>
      </c>
      <c r="O137">
        <v>16</v>
      </c>
      <c r="P137">
        <v>0.26</v>
      </c>
      <c r="Q137" s="46">
        <v>21</v>
      </c>
      <c r="R137">
        <v>2</v>
      </c>
    </row>
    <row r="138" spans="1:18" x14ac:dyDescent="0.25">
      <c r="A138">
        <v>137</v>
      </c>
      <c r="B138" t="s">
        <v>369</v>
      </c>
      <c r="C138" t="s">
        <v>359</v>
      </c>
      <c r="D138" s="7">
        <v>42481</v>
      </c>
      <c r="E138" t="s">
        <v>189</v>
      </c>
      <c r="G138" t="str">
        <f t="shared" si="8"/>
        <v>Ref</v>
      </c>
      <c r="H138">
        <v>1.1000000000000001</v>
      </c>
      <c r="I138">
        <v>0.46</v>
      </c>
      <c r="J138">
        <f t="shared" si="9"/>
        <v>0.64000000000000012</v>
      </c>
      <c r="K138">
        <f t="shared" si="10"/>
        <v>1.56</v>
      </c>
      <c r="L138">
        <f t="shared" si="11"/>
        <v>0.23</v>
      </c>
      <c r="M138" t="s">
        <v>360</v>
      </c>
      <c r="N138" t="s">
        <v>361</v>
      </c>
      <c r="O138">
        <v>9</v>
      </c>
      <c r="P138">
        <v>0.23</v>
      </c>
      <c r="Q138" s="46">
        <v>20</v>
      </c>
      <c r="R138">
        <v>2</v>
      </c>
    </row>
    <row r="139" spans="1:18" x14ac:dyDescent="0.25">
      <c r="A139">
        <v>138</v>
      </c>
      <c r="B139" t="s">
        <v>369</v>
      </c>
      <c r="C139" t="s">
        <v>359</v>
      </c>
      <c r="D139" s="7">
        <v>42481</v>
      </c>
      <c r="E139" t="s">
        <v>190</v>
      </c>
      <c r="G139" t="str">
        <f t="shared" si="8"/>
        <v>Ref</v>
      </c>
      <c r="H139">
        <v>0.73</v>
      </c>
      <c r="I139">
        <v>0.4</v>
      </c>
      <c r="J139">
        <f t="shared" si="9"/>
        <v>0.32999999999999996</v>
      </c>
      <c r="K139">
        <f t="shared" si="10"/>
        <v>1.1299999999999999</v>
      </c>
      <c r="L139">
        <f t="shared" si="11"/>
        <v>0.2</v>
      </c>
      <c r="M139" t="s">
        <v>360</v>
      </c>
      <c r="N139" t="s">
        <v>361</v>
      </c>
      <c r="O139">
        <v>14</v>
      </c>
      <c r="P139">
        <v>0.2</v>
      </c>
      <c r="Q139" s="46">
        <v>28</v>
      </c>
      <c r="R139">
        <v>2</v>
      </c>
    </row>
    <row r="140" spans="1:18" x14ac:dyDescent="0.25">
      <c r="A140">
        <v>139</v>
      </c>
      <c r="B140" t="s">
        <v>369</v>
      </c>
      <c r="C140" t="s">
        <v>359</v>
      </c>
      <c r="D140" s="7">
        <v>42481</v>
      </c>
      <c r="E140" t="s">
        <v>191</v>
      </c>
      <c r="G140" t="str">
        <f t="shared" si="8"/>
        <v>Ref</v>
      </c>
      <c r="H140">
        <v>0.79</v>
      </c>
      <c r="I140">
        <v>0.24</v>
      </c>
      <c r="J140">
        <f t="shared" si="9"/>
        <v>0.55000000000000004</v>
      </c>
      <c r="K140">
        <f t="shared" si="10"/>
        <v>1.03</v>
      </c>
      <c r="L140">
        <f t="shared" si="11"/>
        <v>0.12</v>
      </c>
      <c r="M140" t="s">
        <v>360</v>
      </c>
      <c r="N140" t="s">
        <v>361</v>
      </c>
      <c r="O140">
        <v>7</v>
      </c>
      <c r="P140">
        <v>0.12</v>
      </c>
      <c r="Q140" s="46">
        <v>15</v>
      </c>
      <c r="R140">
        <v>2</v>
      </c>
    </row>
    <row r="141" spans="1:18" x14ac:dyDescent="0.25">
      <c r="A141">
        <v>140</v>
      </c>
      <c r="B141" t="s">
        <v>369</v>
      </c>
      <c r="C141" t="s">
        <v>359</v>
      </c>
      <c r="D141" s="7">
        <v>42481</v>
      </c>
      <c r="E141" t="s">
        <v>192</v>
      </c>
      <c r="G141" t="str">
        <f t="shared" si="8"/>
        <v>Ref</v>
      </c>
      <c r="H141">
        <v>0.34</v>
      </c>
      <c r="I141">
        <v>0.24</v>
      </c>
      <c r="J141">
        <f t="shared" si="9"/>
        <v>0.10000000000000003</v>
      </c>
      <c r="K141">
        <f t="shared" si="10"/>
        <v>0.58000000000000007</v>
      </c>
      <c r="L141">
        <f t="shared" si="11"/>
        <v>0.12</v>
      </c>
      <c r="M141" t="s">
        <v>360</v>
      </c>
      <c r="N141" t="s">
        <v>361</v>
      </c>
      <c r="O141">
        <v>6</v>
      </c>
      <c r="P141">
        <v>0.12</v>
      </c>
      <c r="Q141" s="46">
        <v>36</v>
      </c>
      <c r="R141">
        <v>2</v>
      </c>
    </row>
    <row r="142" spans="1:18" x14ac:dyDescent="0.25">
      <c r="A142">
        <v>141</v>
      </c>
      <c r="B142" t="s">
        <v>369</v>
      </c>
      <c r="C142" t="s">
        <v>359</v>
      </c>
      <c r="D142" s="7">
        <v>42481</v>
      </c>
      <c r="E142" t="s">
        <v>193</v>
      </c>
      <c r="G142" t="str">
        <f t="shared" si="8"/>
        <v>Ref</v>
      </c>
      <c r="H142">
        <v>1.2</v>
      </c>
      <c r="I142">
        <v>0.34</v>
      </c>
      <c r="J142">
        <f t="shared" si="9"/>
        <v>0.85999999999999988</v>
      </c>
      <c r="K142">
        <f t="shared" si="10"/>
        <v>1.54</v>
      </c>
      <c r="L142">
        <f t="shared" si="11"/>
        <v>0.17</v>
      </c>
      <c r="M142" t="s">
        <v>360</v>
      </c>
      <c r="N142" t="s">
        <v>361</v>
      </c>
      <c r="O142">
        <v>14</v>
      </c>
      <c r="P142">
        <v>0.17</v>
      </c>
      <c r="Q142" s="46">
        <v>14</v>
      </c>
      <c r="R142">
        <v>2</v>
      </c>
    </row>
    <row r="143" spans="1:18" x14ac:dyDescent="0.25">
      <c r="A143">
        <v>142</v>
      </c>
      <c r="B143" t="s">
        <v>369</v>
      </c>
      <c r="C143" t="s">
        <v>359</v>
      </c>
      <c r="D143" s="7">
        <v>42481</v>
      </c>
      <c r="E143" t="s">
        <v>194</v>
      </c>
      <c r="G143" t="str">
        <f t="shared" si="8"/>
        <v>Ref</v>
      </c>
      <c r="H143">
        <v>2.2000000000000002</v>
      </c>
      <c r="I143">
        <v>0.52</v>
      </c>
      <c r="J143">
        <f t="shared" si="9"/>
        <v>1.6800000000000002</v>
      </c>
      <c r="K143">
        <f t="shared" si="10"/>
        <v>2.72</v>
      </c>
      <c r="L143">
        <f t="shared" si="11"/>
        <v>0.26</v>
      </c>
      <c r="M143" t="s">
        <v>360</v>
      </c>
      <c r="N143" t="s">
        <v>361</v>
      </c>
      <c r="O143">
        <v>16</v>
      </c>
      <c r="P143">
        <v>0.26</v>
      </c>
      <c r="Q143" s="46">
        <v>12</v>
      </c>
      <c r="R143">
        <v>2</v>
      </c>
    </row>
    <row r="144" spans="1:18" x14ac:dyDescent="0.25">
      <c r="A144">
        <v>143</v>
      </c>
      <c r="B144" t="s">
        <v>369</v>
      </c>
      <c r="C144" t="s">
        <v>359</v>
      </c>
      <c r="D144" s="7">
        <v>42481</v>
      </c>
      <c r="E144" t="s">
        <v>195</v>
      </c>
      <c r="G144" t="str">
        <f t="shared" si="8"/>
        <v>Ref</v>
      </c>
      <c r="H144">
        <v>0.78</v>
      </c>
      <c r="I144">
        <v>0.34</v>
      </c>
      <c r="J144">
        <f t="shared" si="9"/>
        <v>0.44</v>
      </c>
      <c r="K144">
        <f t="shared" si="10"/>
        <v>1.1200000000000001</v>
      </c>
      <c r="L144">
        <f t="shared" si="11"/>
        <v>0.17</v>
      </c>
      <c r="M144" t="s">
        <v>360</v>
      </c>
      <c r="N144" t="s">
        <v>361</v>
      </c>
      <c r="O144">
        <v>11</v>
      </c>
      <c r="P144">
        <v>0.17</v>
      </c>
      <c r="Q144" s="46">
        <v>22</v>
      </c>
      <c r="R144">
        <v>2</v>
      </c>
    </row>
    <row r="145" spans="1:18" x14ac:dyDescent="0.25">
      <c r="A145">
        <v>144</v>
      </c>
      <c r="B145" t="s">
        <v>369</v>
      </c>
      <c r="C145" t="s">
        <v>359</v>
      </c>
      <c r="D145" s="7">
        <v>42481</v>
      </c>
      <c r="E145" t="s">
        <v>196</v>
      </c>
      <c r="G145" t="str">
        <f t="shared" si="8"/>
        <v>Ref</v>
      </c>
      <c r="H145">
        <v>1.5</v>
      </c>
      <c r="I145">
        <v>0.82</v>
      </c>
      <c r="J145">
        <f t="shared" si="9"/>
        <v>0.68</v>
      </c>
      <c r="K145">
        <f t="shared" si="10"/>
        <v>2.3199999999999998</v>
      </c>
      <c r="L145">
        <f t="shared" si="11"/>
        <v>0.41</v>
      </c>
      <c r="M145" t="s">
        <v>360</v>
      </c>
      <c r="N145" t="s">
        <v>361</v>
      </c>
      <c r="O145">
        <v>11</v>
      </c>
      <c r="P145">
        <v>0.41</v>
      </c>
      <c r="Q145" s="46">
        <v>27</v>
      </c>
      <c r="R145">
        <v>2</v>
      </c>
    </row>
    <row r="146" spans="1:18" x14ac:dyDescent="0.25">
      <c r="A146">
        <v>145</v>
      </c>
      <c r="B146" t="s">
        <v>369</v>
      </c>
      <c r="C146" t="s">
        <v>359</v>
      </c>
      <c r="D146" s="7">
        <v>42481</v>
      </c>
      <c r="E146" t="s">
        <v>197</v>
      </c>
      <c r="G146" t="str">
        <f t="shared" si="8"/>
        <v>Ref</v>
      </c>
      <c r="H146">
        <v>0.28000000000000003</v>
      </c>
      <c r="I146">
        <v>0.2</v>
      </c>
      <c r="J146">
        <f t="shared" si="9"/>
        <v>8.0000000000000016E-2</v>
      </c>
      <c r="K146">
        <f t="shared" si="10"/>
        <v>0.48000000000000004</v>
      </c>
      <c r="L146">
        <f t="shared" si="11"/>
        <v>0.1</v>
      </c>
      <c r="M146" t="s">
        <v>360</v>
      </c>
      <c r="N146" t="s">
        <v>361</v>
      </c>
      <c r="O146">
        <v>11</v>
      </c>
      <c r="P146">
        <v>0.1</v>
      </c>
      <c r="Q146" s="46">
        <v>36</v>
      </c>
      <c r="R146">
        <v>2</v>
      </c>
    </row>
    <row r="147" spans="1:18" x14ac:dyDescent="0.25">
      <c r="A147">
        <v>146</v>
      </c>
      <c r="B147" t="s">
        <v>369</v>
      </c>
      <c r="C147" t="s">
        <v>359</v>
      </c>
      <c r="D147" s="7">
        <v>42481</v>
      </c>
      <c r="E147" t="s">
        <v>198</v>
      </c>
      <c r="G147" t="str">
        <f t="shared" si="8"/>
        <v>Ref</v>
      </c>
      <c r="H147">
        <v>1.3</v>
      </c>
      <c r="I147">
        <v>0.52</v>
      </c>
      <c r="J147">
        <f t="shared" si="9"/>
        <v>0.78</v>
      </c>
      <c r="K147">
        <f t="shared" si="10"/>
        <v>1.82</v>
      </c>
      <c r="L147">
        <f t="shared" si="11"/>
        <v>0.26</v>
      </c>
      <c r="M147" t="s">
        <v>360</v>
      </c>
      <c r="N147" t="s">
        <v>361</v>
      </c>
      <c r="O147">
        <v>14</v>
      </c>
      <c r="P147">
        <v>0.26</v>
      </c>
      <c r="Q147" s="46">
        <v>20</v>
      </c>
      <c r="R147">
        <v>2</v>
      </c>
    </row>
    <row r="148" spans="1:18" x14ac:dyDescent="0.25">
      <c r="A148">
        <v>147</v>
      </c>
      <c r="B148" t="s">
        <v>369</v>
      </c>
      <c r="C148" t="s">
        <v>359</v>
      </c>
      <c r="D148" s="7">
        <v>42481</v>
      </c>
      <c r="E148" t="s">
        <v>199</v>
      </c>
      <c r="G148" t="str">
        <f t="shared" si="8"/>
        <v>Ref</v>
      </c>
      <c r="H148">
        <v>6.7</v>
      </c>
      <c r="I148">
        <v>1.58</v>
      </c>
      <c r="J148">
        <f t="shared" si="9"/>
        <v>5.12</v>
      </c>
      <c r="K148">
        <f t="shared" si="10"/>
        <v>8.2800000000000011</v>
      </c>
      <c r="L148">
        <f t="shared" si="11"/>
        <v>0.79</v>
      </c>
      <c r="M148" t="s">
        <v>360</v>
      </c>
      <c r="N148" t="s">
        <v>361</v>
      </c>
      <c r="O148">
        <v>16</v>
      </c>
      <c r="P148">
        <v>0.79</v>
      </c>
      <c r="Q148" s="46">
        <v>12</v>
      </c>
      <c r="R148">
        <v>2</v>
      </c>
    </row>
    <row r="149" spans="1:18" x14ac:dyDescent="0.25">
      <c r="A149">
        <v>148</v>
      </c>
      <c r="B149" t="s">
        <v>369</v>
      </c>
      <c r="C149" t="s">
        <v>359</v>
      </c>
      <c r="D149" s="7">
        <v>42481</v>
      </c>
      <c r="E149" t="s">
        <v>200</v>
      </c>
      <c r="G149" t="str">
        <f t="shared" si="8"/>
        <v>Ref</v>
      </c>
      <c r="H149">
        <v>0.93</v>
      </c>
      <c r="I149">
        <v>0.44</v>
      </c>
      <c r="J149">
        <f t="shared" si="9"/>
        <v>0.49000000000000005</v>
      </c>
      <c r="K149">
        <f t="shared" si="10"/>
        <v>1.37</v>
      </c>
      <c r="L149">
        <f t="shared" si="11"/>
        <v>0.22</v>
      </c>
      <c r="M149" t="s">
        <v>360</v>
      </c>
      <c r="N149" t="s">
        <v>361</v>
      </c>
      <c r="O149">
        <v>12</v>
      </c>
      <c r="P149">
        <v>0.22</v>
      </c>
      <c r="Q149" s="46">
        <v>23</v>
      </c>
      <c r="R149">
        <v>2</v>
      </c>
    </row>
    <row r="150" spans="1:18" x14ac:dyDescent="0.25">
      <c r="A150">
        <v>149</v>
      </c>
      <c r="B150" t="s">
        <v>369</v>
      </c>
      <c r="C150" t="s">
        <v>359</v>
      </c>
      <c r="D150" s="7">
        <v>42481</v>
      </c>
      <c r="E150" t="s">
        <v>201</v>
      </c>
      <c r="G150" t="str">
        <f t="shared" si="8"/>
        <v>Ref</v>
      </c>
      <c r="H150">
        <v>2.4</v>
      </c>
      <c r="I150">
        <v>0.76</v>
      </c>
      <c r="J150">
        <f t="shared" si="9"/>
        <v>1.64</v>
      </c>
      <c r="K150">
        <f t="shared" si="10"/>
        <v>3.16</v>
      </c>
      <c r="L150">
        <f t="shared" si="11"/>
        <v>0.38</v>
      </c>
      <c r="M150" t="s">
        <v>360</v>
      </c>
      <c r="N150" t="s">
        <v>361</v>
      </c>
      <c r="O150">
        <v>16</v>
      </c>
      <c r="P150">
        <v>0.38</v>
      </c>
      <c r="Q150" s="46">
        <v>16</v>
      </c>
      <c r="R150">
        <v>2</v>
      </c>
    </row>
    <row r="151" spans="1:18" x14ac:dyDescent="0.25">
      <c r="A151">
        <v>150</v>
      </c>
      <c r="B151" t="s">
        <v>369</v>
      </c>
      <c r="C151" t="s">
        <v>359</v>
      </c>
      <c r="D151" s="7">
        <v>42481</v>
      </c>
      <c r="E151" t="s">
        <v>202</v>
      </c>
      <c r="G151" t="str">
        <f t="shared" si="8"/>
        <v>Ref</v>
      </c>
      <c r="H151">
        <v>3.2</v>
      </c>
      <c r="I151">
        <v>1.52</v>
      </c>
      <c r="J151">
        <f t="shared" si="9"/>
        <v>1.6800000000000002</v>
      </c>
      <c r="K151">
        <f t="shared" si="10"/>
        <v>4.7200000000000006</v>
      </c>
      <c r="L151">
        <f t="shared" si="11"/>
        <v>0.76</v>
      </c>
      <c r="M151" t="s">
        <v>360</v>
      </c>
      <c r="N151" t="s">
        <v>361</v>
      </c>
      <c r="O151">
        <v>15</v>
      </c>
      <c r="P151">
        <v>0.76</v>
      </c>
      <c r="Q151" s="46">
        <v>24</v>
      </c>
      <c r="R151">
        <v>2</v>
      </c>
    </row>
    <row r="152" spans="1:18" x14ac:dyDescent="0.25">
      <c r="A152">
        <v>151</v>
      </c>
      <c r="B152" t="s">
        <v>369</v>
      </c>
      <c r="C152" t="s">
        <v>359</v>
      </c>
      <c r="D152" s="7">
        <v>42481</v>
      </c>
      <c r="E152" t="s">
        <v>203</v>
      </c>
      <c r="G152" t="str">
        <f t="shared" si="8"/>
        <v>Ref</v>
      </c>
      <c r="H152">
        <v>3.1</v>
      </c>
      <c r="I152">
        <v>0.78</v>
      </c>
      <c r="J152">
        <f t="shared" si="9"/>
        <v>2.3200000000000003</v>
      </c>
      <c r="K152">
        <f t="shared" si="10"/>
        <v>3.88</v>
      </c>
      <c r="L152">
        <f t="shared" si="11"/>
        <v>0.39</v>
      </c>
      <c r="M152" t="s">
        <v>360</v>
      </c>
      <c r="N152" t="s">
        <v>361</v>
      </c>
      <c r="O152">
        <v>16</v>
      </c>
      <c r="P152">
        <v>0.39</v>
      </c>
      <c r="Q152" s="46">
        <v>13</v>
      </c>
      <c r="R152">
        <v>2</v>
      </c>
    </row>
    <row r="153" spans="1:18" x14ac:dyDescent="0.25">
      <c r="A153">
        <v>152</v>
      </c>
      <c r="B153" t="s">
        <v>369</v>
      </c>
      <c r="C153" t="s">
        <v>359</v>
      </c>
      <c r="D153" s="7">
        <v>42481</v>
      </c>
      <c r="E153" t="s">
        <v>204</v>
      </c>
      <c r="G153" t="str">
        <f t="shared" si="8"/>
        <v>Ref</v>
      </c>
      <c r="H153">
        <v>1.6</v>
      </c>
      <c r="I153">
        <v>0.57999999999999996</v>
      </c>
      <c r="J153">
        <f t="shared" si="9"/>
        <v>1.02</v>
      </c>
      <c r="K153">
        <f t="shared" si="10"/>
        <v>2.1800000000000002</v>
      </c>
      <c r="L153">
        <f t="shared" si="11"/>
        <v>0.28999999999999998</v>
      </c>
      <c r="M153" t="s">
        <v>360</v>
      </c>
      <c r="N153" t="s">
        <v>361</v>
      </c>
      <c r="O153">
        <v>14</v>
      </c>
      <c r="P153">
        <v>0.28999999999999998</v>
      </c>
      <c r="Q153" s="46">
        <v>18</v>
      </c>
      <c r="R153">
        <v>2</v>
      </c>
    </row>
    <row r="154" spans="1:18" x14ac:dyDescent="0.25">
      <c r="A154">
        <v>153</v>
      </c>
      <c r="B154" t="s">
        <v>369</v>
      </c>
      <c r="C154" t="s">
        <v>359</v>
      </c>
      <c r="D154" s="7">
        <v>42481</v>
      </c>
      <c r="E154" t="s">
        <v>205</v>
      </c>
      <c r="G154" t="str">
        <f t="shared" si="8"/>
        <v>Ref</v>
      </c>
      <c r="H154">
        <v>4.9000000000000004</v>
      </c>
      <c r="I154">
        <v>3.8</v>
      </c>
      <c r="J154">
        <f t="shared" si="9"/>
        <v>1.1000000000000005</v>
      </c>
      <c r="K154">
        <f t="shared" si="10"/>
        <v>8.6999999999999993</v>
      </c>
      <c r="L154">
        <f t="shared" si="11"/>
        <v>1.9</v>
      </c>
      <c r="M154" t="s">
        <v>360</v>
      </c>
      <c r="N154" t="s">
        <v>361</v>
      </c>
      <c r="O154">
        <v>15</v>
      </c>
      <c r="P154">
        <v>1.9</v>
      </c>
      <c r="Q154" s="46">
        <v>38</v>
      </c>
      <c r="R154">
        <v>2</v>
      </c>
    </row>
    <row r="155" spans="1:18" x14ac:dyDescent="0.25">
      <c r="A155">
        <v>154</v>
      </c>
      <c r="B155" t="s">
        <v>369</v>
      </c>
      <c r="C155" t="s">
        <v>359</v>
      </c>
      <c r="D155" s="7">
        <v>42481</v>
      </c>
      <c r="E155" t="s">
        <v>206</v>
      </c>
      <c r="G155" t="str">
        <f t="shared" si="8"/>
        <v>Ref</v>
      </c>
      <c r="H155">
        <v>0.95</v>
      </c>
      <c r="I155">
        <v>0.4</v>
      </c>
      <c r="J155">
        <f t="shared" si="9"/>
        <v>0.54999999999999993</v>
      </c>
      <c r="K155">
        <f t="shared" si="10"/>
        <v>1.35</v>
      </c>
      <c r="L155">
        <f t="shared" si="11"/>
        <v>0.2</v>
      </c>
      <c r="M155" t="s">
        <v>360</v>
      </c>
      <c r="N155" t="s">
        <v>361</v>
      </c>
      <c r="O155">
        <v>14</v>
      </c>
      <c r="P155">
        <v>0.2</v>
      </c>
      <c r="Q155" s="46">
        <v>21</v>
      </c>
      <c r="R155">
        <v>2</v>
      </c>
    </row>
    <row r="156" spans="1:18" x14ac:dyDescent="0.25">
      <c r="A156">
        <v>155</v>
      </c>
      <c r="B156" t="s">
        <v>369</v>
      </c>
      <c r="C156" t="s">
        <v>359</v>
      </c>
      <c r="D156" s="7">
        <v>42481</v>
      </c>
      <c r="E156" t="s">
        <v>207</v>
      </c>
      <c r="G156" t="str">
        <f t="shared" si="8"/>
        <v>Ref</v>
      </c>
      <c r="H156">
        <v>8.1</v>
      </c>
      <c r="I156">
        <v>2.4</v>
      </c>
      <c r="J156">
        <f t="shared" si="9"/>
        <v>5.6999999999999993</v>
      </c>
      <c r="K156">
        <f t="shared" si="10"/>
        <v>10.5</v>
      </c>
      <c r="L156">
        <f t="shared" si="11"/>
        <v>1.2</v>
      </c>
      <c r="M156" t="s">
        <v>360</v>
      </c>
      <c r="N156" t="s">
        <v>361</v>
      </c>
      <c r="O156">
        <v>16</v>
      </c>
      <c r="P156">
        <v>1.2</v>
      </c>
      <c r="Q156" s="46">
        <v>15</v>
      </c>
      <c r="R156">
        <v>2</v>
      </c>
    </row>
    <row r="157" spans="1:18" x14ac:dyDescent="0.25">
      <c r="A157">
        <v>156</v>
      </c>
      <c r="B157" t="s">
        <v>369</v>
      </c>
      <c r="C157" t="s">
        <v>359</v>
      </c>
      <c r="D157" s="7">
        <v>42481</v>
      </c>
      <c r="E157" t="s">
        <v>208</v>
      </c>
      <c r="G157" t="str">
        <f t="shared" si="8"/>
        <v>Ref</v>
      </c>
      <c r="H157">
        <v>0.94</v>
      </c>
      <c r="I157">
        <v>0.36</v>
      </c>
      <c r="J157">
        <f t="shared" si="9"/>
        <v>0.57999999999999996</v>
      </c>
      <c r="K157">
        <f t="shared" si="10"/>
        <v>1.2999999999999998</v>
      </c>
      <c r="L157">
        <f t="shared" si="11"/>
        <v>0.18</v>
      </c>
      <c r="M157" t="s">
        <v>360</v>
      </c>
      <c r="N157" t="s">
        <v>361</v>
      </c>
      <c r="O157">
        <v>9</v>
      </c>
      <c r="P157">
        <v>0.18</v>
      </c>
      <c r="Q157" s="46">
        <v>19</v>
      </c>
      <c r="R157">
        <v>2</v>
      </c>
    </row>
    <row r="158" spans="1:18" x14ac:dyDescent="0.25">
      <c r="A158">
        <v>157</v>
      </c>
      <c r="B158" t="s">
        <v>369</v>
      </c>
      <c r="C158" t="s">
        <v>359</v>
      </c>
      <c r="D158" s="7">
        <v>42481</v>
      </c>
      <c r="E158" t="s">
        <v>209</v>
      </c>
      <c r="G158" t="str">
        <f t="shared" si="8"/>
        <v>Ref</v>
      </c>
      <c r="H158" s="2">
        <v>2.7</v>
      </c>
      <c r="I158">
        <v>0.94</v>
      </c>
      <c r="J158">
        <f t="shared" si="9"/>
        <v>1.7600000000000002</v>
      </c>
      <c r="K158">
        <f t="shared" si="10"/>
        <v>3.64</v>
      </c>
      <c r="L158">
        <f t="shared" si="11"/>
        <v>0.47</v>
      </c>
      <c r="M158" t="s">
        <v>360</v>
      </c>
      <c r="N158" t="s">
        <v>361</v>
      </c>
      <c r="O158">
        <v>12</v>
      </c>
      <c r="P158">
        <v>0.47</v>
      </c>
      <c r="Q158" s="46">
        <v>17</v>
      </c>
      <c r="R158">
        <v>2</v>
      </c>
    </row>
    <row r="159" spans="1:18" x14ac:dyDescent="0.25">
      <c r="A159">
        <v>158</v>
      </c>
      <c r="B159" t="s">
        <v>369</v>
      </c>
      <c r="C159" t="s">
        <v>359</v>
      </c>
      <c r="D159" s="7">
        <v>42481</v>
      </c>
      <c r="E159" t="s">
        <v>210</v>
      </c>
      <c r="G159" t="str">
        <f t="shared" si="8"/>
        <v>Ref</v>
      </c>
      <c r="H159">
        <v>5.8</v>
      </c>
      <c r="I159">
        <v>3.8</v>
      </c>
      <c r="J159">
        <f t="shared" si="9"/>
        <v>2</v>
      </c>
      <c r="K159">
        <f t="shared" si="10"/>
        <v>9.6</v>
      </c>
      <c r="L159">
        <f t="shared" si="11"/>
        <v>1.9</v>
      </c>
      <c r="M159" t="s">
        <v>360</v>
      </c>
      <c r="N159" t="s">
        <v>361</v>
      </c>
      <c r="O159">
        <v>17</v>
      </c>
      <c r="P159">
        <v>1.9</v>
      </c>
      <c r="Q159" s="46">
        <v>33</v>
      </c>
      <c r="R159">
        <v>2</v>
      </c>
    </row>
    <row r="160" spans="1:18" x14ac:dyDescent="0.25">
      <c r="A160">
        <v>159</v>
      </c>
      <c r="B160" t="s">
        <v>369</v>
      </c>
      <c r="C160" t="s">
        <v>359</v>
      </c>
      <c r="D160" s="7">
        <v>42481</v>
      </c>
      <c r="E160" t="s">
        <v>211</v>
      </c>
      <c r="G160" t="str">
        <f t="shared" si="8"/>
        <v>Ref</v>
      </c>
      <c r="H160">
        <v>3.2</v>
      </c>
      <c r="I160">
        <v>1.18</v>
      </c>
      <c r="J160">
        <f t="shared" si="9"/>
        <v>2.0200000000000005</v>
      </c>
      <c r="K160">
        <f t="shared" si="10"/>
        <v>4.38</v>
      </c>
      <c r="L160">
        <f t="shared" si="11"/>
        <v>0.59</v>
      </c>
      <c r="M160" t="s">
        <v>360</v>
      </c>
      <c r="N160" t="s">
        <v>361</v>
      </c>
      <c r="O160">
        <v>15</v>
      </c>
      <c r="P160">
        <v>0.59</v>
      </c>
      <c r="Q160" s="46">
        <v>19</v>
      </c>
      <c r="R160">
        <v>2</v>
      </c>
    </row>
    <row r="161" spans="1:18" x14ac:dyDescent="0.25">
      <c r="A161">
        <v>160</v>
      </c>
      <c r="B161" t="s">
        <v>369</v>
      </c>
      <c r="C161" t="s">
        <v>359</v>
      </c>
      <c r="D161" s="7">
        <v>42481</v>
      </c>
      <c r="E161" t="s">
        <v>212</v>
      </c>
      <c r="G161" t="str">
        <f t="shared" si="8"/>
        <v>Ref</v>
      </c>
      <c r="H161">
        <v>4.9000000000000004</v>
      </c>
      <c r="I161">
        <v>2.4</v>
      </c>
      <c r="J161">
        <f t="shared" si="9"/>
        <v>2.5000000000000004</v>
      </c>
      <c r="K161">
        <f t="shared" si="10"/>
        <v>7.3000000000000007</v>
      </c>
      <c r="L161">
        <f t="shared" si="11"/>
        <v>1.2</v>
      </c>
      <c r="M161" t="s">
        <v>360</v>
      </c>
      <c r="N161" t="s">
        <v>361</v>
      </c>
      <c r="O161">
        <v>16</v>
      </c>
      <c r="P161">
        <v>1.2</v>
      </c>
      <c r="Q161" s="46">
        <v>25</v>
      </c>
      <c r="R161">
        <v>2</v>
      </c>
    </row>
    <row r="162" spans="1:18" x14ac:dyDescent="0.25">
      <c r="A162">
        <v>161</v>
      </c>
      <c r="B162" t="s">
        <v>369</v>
      </c>
      <c r="C162" t="s">
        <v>359</v>
      </c>
      <c r="D162" s="7">
        <v>42481</v>
      </c>
      <c r="E162" t="s">
        <v>213</v>
      </c>
      <c r="G162" t="str">
        <f t="shared" si="8"/>
        <v>Ref</v>
      </c>
      <c r="H162">
        <v>3.5</v>
      </c>
      <c r="I162">
        <v>1.96</v>
      </c>
      <c r="J162">
        <f t="shared" si="9"/>
        <v>1.54</v>
      </c>
      <c r="K162">
        <f t="shared" si="10"/>
        <v>5.46</v>
      </c>
      <c r="L162">
        <f t="shared" si="11"/>
        <v>0.98</v>
      </c>
      <c r="M162" t="s">
        <v>360</v>
      </c>
      <c r="N162" t="s">
        <v>361</v>
      </c>
      <c r="O162">
        <v>8</v>
      </c>
      <c r="P162">
        <v>0.98</v>
      </c>
      <c r="Q162" s="46">
        <v>28</v>
      </c>
      <c r="R162">
        <v>2</v>
      </c>
    </row>
    <row r="163" spans="1:18" x14ac:dyDescent="0.25">
      <c r="A163">
        <v>162</v>
      </c>
      <c r="B163" t="s">
        <v>369</v>
      </c>
      <c r="C163" t="s">
        <v>359</v>
      </c>
      <c r="D163" s="7">
        <v>42481</v>
      </c>
      <c r="E163" t="s">
        <v>214</v>
      </c>
      <c r="G163" t="str">
        <f t="shared" si="8"/>
        <v>Ref</v>
      </c>
      <c r="H163">
        <v>0.26</v>
      </c>
      <c r="I163">
        <v>0.16400000000000001</v>
      </c>
      <c r="J163">
        <f t="shared" si="9"/>
        <v>9.6000000000000002E-2</v>
      </c>
      <c r="K163">
        <f t="shared" si="10"/>
        <v>0.42400000000000004</v>
      </c>
      <c r="L163">
        <f t="shared" si="11"/>
        <v>8.2000000000000003E-2</v>
      </c>
      <c r="M163" t="s">
        <v>360</v>
      </c>
      <c r="N163" t="s">
        <v>361</v>
      </c>
      <c r="O163">
        <v>10</v>
      </c>
      <c r="P163">
        <v>8.2000000000000003E-2</v>
      </c>
      <c r="Q163" s="46">
        <v>31</v>
      </c>
      <c r="R163">
        <v>2</v>
      </c>
    </row>
    <row r="164" spans="1:18" x14ac:dyDescent="0.25">
      <c r="A164">
        <v>163</v>
      </c>
      <c r="B164" t="s">
        <v>369</v>
      </c>
      <c r="C164" t="s">
        <v>359</v>
      </c>
      <c r="D164" s="7">
        <v>42481</v>
      </c>
      <c r="E164" t="s">
        <v>215</v>
      </c>
      <c r="G164" t="str">
        <f t="shared" si="8"/>
        <v>Ref</v>
      </c>
      <c r="H164">
        <v>0.73</v>
      </c>
      <c r="I164">
        <v>0.46</v>
      </c>
      <c r="J164">
        <f t="shared" si="9"/>
        <v>0.26999999999999996</v>
      </c>
      <c r="K164">
        <f t="shared" si="10"/>
        <v>1.19</v>
      </c>
      <c r="L164">
        <f t="shared" si="11"/>
        <v>0.23</v>
      </c>
      <c r="M164" t="s">
        <v>360</v>
      </c>
      <c r="N164" t="s">
        <v>361</v>
      </c>
      <c r="O164">
        <v>12</v>
      </c>
      <c r="P164">
        <v>0.23</v>
      </c>
      <c r="Q164" s="46">
        <v>31</v>
      </c>
      <c r="R164">
        <v>2</v>
      </c>
    </row>
    <row r="165" spans="1:18" x14ac:dyDescent="0.25">
      <c r="A165">
        <v>164</v>
      </c>
      <c r="B165" t="s">
        <v>369</v>
      </c>
      <c r="C165" t="s">
        <v>359</v>
      </c>
      <c r="D165" s="7">
        <v>42481</v>
      </c>
      <c r="E165" t="s">
        <v>389</v>
      </c>
      <c r="G165" t="str">
        <f t="shared" si="8"/>
        <v>Ref</v>
      </c>
      <c r="H165">
        <v>0.73</v>
      </c>
      <c r="I165">
        <v>0.26</v>
      </c>
      <c r="J165">
        <f t="shared" si="9"/>
        <v>0.47</v>
      </c>
      <c r="K165">
        <f t="shared" si="10"/>
        <v>0.99</v>
      </c>
      <c r="L165">
        <f t="shared" si="11"/>
        <v>0.13</v>
      </c>
      <c r="M165" t="s">
        <v>360</v>
      </c>
      <c r="N165" t="s">
        <v>361</v>
      </c>
      <c r="O165">
        <v>12</v>
      </c>
      <c r="P165">
        <v>0.13</v>
      </c>
      <c r="Q165" s="46">
        <v>17</v>
      </c>
      <c r="R165">
        <v>2</v>
      </c>
    </row>
    <row r="166" spans="1:18" x14ac:dyDescent="0.25">
      <c r="A166">
        <v>165</v>
      </c>
      <c r="B166" t="s">
        <v>369</v>
      </c>
      <c r="C166" t="s">
        <v>359</v>
      </c>
      <c r="D166" s="7">
        <v>42481</v>
      </c>
      <c r="E166" t="s">
        <v>216</v>
      </c>
      <c r="G166" t="str">
        <f t="shared" si="8"/>
        <v>Ref</v>
      </c>
      <c r="H166">
        <v>1.8</v>
      </c>
      <c r="I166">
        <v>0.72</v>
      </c>
      <c r="J166">
        <f t="shared" si="9"/>
        <v>1.08</v>
      </c>
      <c r="K166">
        <f t="shared" si="10"/>
        <v>2.52</v>
      </c>
      <c r="L166">
        <f t="shared" si="11"/>
        <v>0.36</v>
      </c>
      <c r="M166" t="s">
        <v>360</v>
      </c>
      <c r="N166" t="s">
        <v>361</v>
      </c>
      <c r="O166">
        <v>14</v>
      </c>
      <c r="P166">
        <v>0.36</v>
      </c>
      <c r="Q166" s="46">
        <v>20</v>
      </c>
      <c r="R166">
        <v>2</v>
      </c>
    </row>
    <row r="167" spans="1:18" x14ac:dyDescent="0.25">
      <c r="A167">
        <v>166</v>
      </c>
      <c r="B167" t="s">
        <v>369</v>
      </c>
      <c r="C167" t="s">
        <v>359</v>
      </c>
      <c r="D167" s="7">
        <v>42481</v>
      </c>
      <c r="E167" t="s">
        <v>217</v>
      </c>
      <c r="G167" t="str">
        <f t="shared" si="8"/>
        <v>Ref</v>
      </c>
      <c r="H167">
        <v>1.3</v>
      </c>
      <c r="I167">
        <v>0.62</v>
      </c>
      <c r="J167">
        <f t="shared" si="9"/>
        <v>0.68</v>
      </c>
      <c r="K167">
        <f t="shared" si="10"/>
        <v>1.92</v>
      </c>
      <c r="L167">
        <f t="shared" si="11"/>
        <v>0.31</v>
      </c>
      <c r="M167" t="s">
        <v>360</v>
      </c>
      <c r="N167" t="s">
        <v>361</v>
      </c>
      <c r="O167">
        <v>14</v>
      </c>
      <c r="P167">
        <v>0.31</v>
      </c>
      <c r="Q167" s="46">
        <v>23</v>
      </c>
      <c r="R167">
        <v>2</v>
      </c>
    </row>
    <row r="168" spans="1:18" x14ac:dyDescent="0.25">
      <c r="A168">
        <v>167</v>
      </c>
      <c r="B168" t="s">
        <v>369</v>
      </c>
      <c r="C168" t="s">
        <v>359</v>
      </c>
      <c r="D168" s="7">
        <v>42481</v>
      </c>
      <c r="E168" t="s">
        <v>218</v>
      </c>
      <c r="G168" t="str">
        <f t="shared" si="8"/>
        <v>Ref</v>
      </c>
      <c r="H168">
        <v>0.77</v>
      </c>
      <c r="I168">
        <v>0.52</v>
      </c>
      <c r="J168">
        <f t="shared" si="9"/>
        <v>0.25</v>
      </c>
      <c r="K168">
        <f t="shared" si="10"/>
        <v>1.29</v>
      </c>
      <c r="L168">
        <f t="shared" si="11"/>
        <v>0.26</v>
      </c>
      <c r="M168" t="s">
        <v>360</v>
      </c>
      <c r="N168" t="s">
        <v>361</v>
      </c>
      <c r="O168">
        <v>11</v>
      </c>
      <c r="P168">
        <v>0.26</v>
      </c>
      <c r="Q168" s="46">
        <v>33</v>
      </c>
      <c r="R168">
        <v>2</v>
      </c>
    </row>
    <row r="169" spans="1:18" x14ac:dyDescent="0.25">
      <c r="A169">
        <v>168</v>
      </c>
      <c r="B169" t="s">
        <v>369</v>
      </c>
      <c r="C169" t="s">
        <v>359</v>
      </c>
      <c r="D169" s="7">
        <v>42481</v>
      </c>
      <c r="E169" t="s">
        <v>219</v>
      </c>
      <c r="G169" t="str">
        <f t="shared" si="8"/>
        <v>Ref</v>
      </c>
      <c r="H169">
        <v>2.5</v>
      </c>
      <c r="I169">
        <v>1.44</v>
      </c>
      <c r="J169">
        <f t="shared" si="9"/>
        <v>1.06</v>
      </c>
      <c r="K169">
        <f t="shared" si="10"/>
        <v>3.94</v>
      </c>
      <c r="L169">
        <f t="shared" si="11"/>
        <v>0.72</v>
      </c>
      <c r="M169" t="s">
        <v>360</v>
      </c>
      <c r="N169" t="s">
        <v>361</v>
      </c>
      <c r="O169">
        <v>14</v>
      </c>
      <c r="P169">
        <v>0.72</v>
      </c>
      <c r="Q169" s="46">
        <v>29</v>
      </c>
      <c r="R169">
        <v>2</v>
      </c>
    </row>
    <row r="170" spans="1:18" x14ac:dyDescent="0.25">
      <c r="A170">
        <v>169</v>
      </c>
      <c r="B170" t="s">
        <v>369</v>
      </c>
      <c r="C170" t="s">
        <v>359</v>
      </c>
      <c r="D170" s="7">
        <v>42481</v>
      </c>
      <c r="E170" t="s">
        <v>220</v>
      </c>
      <c r="G170" t="str">
        <f t="shared" si="8"/>
        <v>Ref</v>
      </c>
      <c r="H170">
        <v>0.56000000000000005</v>
      </c>
      <c r="I170">
        <v>0.22</v>
      </c>
      <c r="J170">
        <f t="shared" si="9"/>
        <v>0.34000000000000008</v>
      </c>
      <c r="K170">
        <f t="shared" si="10"/>
        <v>0.78</v>
      </c>
      <c r="L170">
        <f t="shared" si="11"/>
        <v>0.11</v>
      </c>
      <c r="M170" t="s">
        <v>360</v>
      </c>
      <c r="N170" t="s">
        <v>361</v>
      </c>
      <c r="O170">
        <v>10</v>
      </c>
      <c r="P170">
        <v>0.11</v>
      </c>
      <c r="Q170" s="46">
        <v>19</v>
      </c>
      <c r="R170">
        <v>2</v>
      </c>
    </row>
    <row r="171" spans="1:18" x14ac:dyDescent="0.25">
      <c r="A171">
        <v>170</v>
      </c>
      <c r="B171" t="s">
        <v>369</v>
      </c>
      <c r="C171" t="s">
        <v>359</v>
      </c>
      <c r="D171" s="7">
        <v>42481</v>
      </c>
      <c r="E171" t="s">
        <v>221</v>
      </c>
      <c r="G171" t="str">
        <f t="shared" si="8"/>
        <v>Ref</v>
      </c>
      <c r="H171">
        <v>2.4</v>
      </c>
      <c r="I171">
        <v>0.84</v>
      </c>
      <c r="J171">
        <f t="shared" si="9"/>
        <v>1.56</v>
      </c>
      <c r="K171">
        <f t="shared" si="10"/>
        <v>3.2399999999999998</v>
      </c>
      <c r="L171">
        <f t="shared" si="11"/>
        <v>0.42</v>
      </c>
      <c r="M171" t="s">
        <v>360</v>
      </c>
      <c r="N171" t="s">
        <v>361</v>
      </c>
      <c r="O171">
        <v>14</v>
      </c>
      <c r="P171">
        <v>0.42</v>
      </c>
      <c r="Q171" s="46">
        <v>17</v>
      </c>
      <c r="R171">
        <v>2</v>
      </c>
    </row>
    <row r="172" spans="1:18" x14ac:dyDescent="0.25">
      <c r="A172">
        <v>171</v>
      </c>
      <c r="B172" t="s">
        <v>369</v>
      </c>
      <c r="C172" t="s">
        <v>359</v>
      </c>
      <c r="D172" s="7">
        <v>42481</v>
      </c>
      <c r="E172" t="s">
        <v>222</v>
      </c>
      <c r="G172" t="str">
        <f t="shared" si="8"/>
        <v>Ref</v>
      </c>
      <c r="H172">
        <v>2.8</v>
      </c>
      <c r="I172">
        <v>0.76</v>
      </c>
      <c r="J172">
        <f t="shared" si="9"/>
        <v>2.04</v>
      </c>
      <c r="K172">
        <f t="shared" si="10"/>
        <v>3.5599999999999996</v>
      </c>
      <c r="L172">
        <f t="shared" si="11"/>
        <v>0.38</v>
      </c>
      <c r="M172" t="s">
        <v>360</v>
      </c>
      <c r="N172" t="s">
        <v>361</v>
      </c>
      <c r="O172">
        <v>14</v>
      </c>
      <c r="P172">
        <v>0.38</v>
      </c>
      <c r="Q172" s="46">
        <v>14</v>
      </c>
      <c r="R172">
        <v>2</v>
      </c>
    </row>
    <row r="173" spans="1:18" x14ac:dyDescent="0.25">
      <c r="A173">
        <v>172</v>
      </c>
      <c r="B173" t="s">
        <v>369</v>
      </c>
      <c r="C173" t="s">
        <v>359</v>
      </c>
      <c r="D173" s="7">
        <v>42481</v>
      </c>
      <c r="E173" t="s">
        <v>223</v>
      </c>
      <c r="G173" t="str">
        <f t="shared" si="8"/>
        <v>Ref</v>
      </c>
      <c r="H173">
        <v>2.1</v>
      </c>
      <c r="I173">
        <v>1.18</v>
      </c>
      <c r="J173">
        <f t="shared" si="9"/>
        <v>0.92000000000000015</v>
      </c>
      <c r="K173">
        <f t="shared" si="10"/>
        <v>3.2800000000000002</v>
      </c>
      <c r="L173">
        <f t="shared" si="11"/>
        <v>0.59</v>
      </c>
      <c r="M173" t="s">
        <v>360</v>
      </c>
      <c r="N173" t="s">
        <v>361</v>
      </c>
      <c r="O173">
        <v>13</v>
      </c>
      <c r="P173">
        <v>0.59</v>
      </c>
      <c r="Q173" s="46">
        <v>28</v>
      </c>
      <c r="R173">
        <v>2</v>
      </c>
    </row>
    <row r="174" spans="1:18" x14ac:dyDescent="0.25">
      <c r="A174">
        <v>173</v>
      </c>
      <c r="B174" t="s">
        <v>369</v>
      </c>
      <c r="C174" t="s">
        <v>359</v>
      </c>
      <c r="D174" s="7">
        <v>42481</v>
      </c>
      <c r="E174" t="s">
        <v>224</v>
      </c>
      <c r="G174" t="str">
        <f t="shared" si="8"/>
        <v>Ref</v>
      </c>
      <c r="H174">
        <v>7.7</v>
      </c>
      <c r="I174">
        <v>1.86</v>
      </c>
      <c r="J174">
        <f t="shared" si="9"/>
        <v>5.84</v>
      </c>
      <c r="K174">
        <f t="shared" si="10"/>
        <v>9.56</v>
      </c>
      <c r="L174">
        <f t="shared" si="11"/>
        <v>0.93</v>
      </c>
      <c r="M174" t="s">
        <v>360</v>
      </c>
      <c r="N174" t="s">
        <v>361</v>
      </c>
      <c r="O174">
        <v>15</v>
      </c>
      <c r="P174">
        <v>0.93</v>
      </c>
      <c r="Q174" s="46">
        <v>12</v>
      </c>
      <c r="R174">
        <v>2</v>
      </c>
    </row>
    <row r="175" spans="1:18" x14ac:dyDescent="0.25">
      <c r="A175">
        <v>174</v>
      </c>
      <c r="B175" t="s">
        <v>369</v>
      </c>
      <c r="C175" t="s">
        <v>359</v>
      </c>
      <c r="D175" s="7">
        <v>42481</v>
      </c>
      <c r="E175" t="s">
        <v>225</v>
      </c>
      <c r="G175" t="str">
        <f t="shared" si="8"/>
        <v>Ref</v>
      </c>
      <c r="H175">
        <v>2.2000000000000002</v>
      </c>
      <c r="I175">
        <v>0.57999999999999996</v>
      </c>
      <c r="J175">
        <f t="shared" si="9"/>
        <v>1.62</v>
      </c>
      <c r="K175">
        <f t="shared" si="10"/>
        <v>2.7800000000000002</v>
      </c>
      <c r="L175">
        <f t="shared" si="11"/>
        <v>0.28999999999999998</v>
      </c>
      <c r="M175" t="s">
        <v>360</v>
      </c>
      <c r="N175" t="s">
        <v>361</v>
      </c>
      <c r="O175">
        <v>14</v>
      </c>
      <c r="P175">
        <v>0.28999999999999998</v>
      </c>
      <c r="Q175" s="46">
        <v>14</v>
      </c>
      <c r="R175">
        <v>2</v>
      </c>
    </row>
    <row r="176" spans="1:18" x14ac:dyDescent="0.25">
      <c r="A176">
        <v>175</v>
      </c>
      <c r="B176" t="s">
        <v>369</v>
      </c>
      <c r="C176" t="s">
        <v>359</v>
      </c>
      <c r="D176" s="7">
        <v>42481</v>
      </c>
      <c r="E176" t="s">
        <v>226</v>
      </c>
      <c r="G176" t="str">
        <f t="shared" si="8"/>
        <v>Ref</v>
      </c>
      <c r="H176" s="2">
        <v>3</v>
      </c>
      <c r="I176" s="1">
        <v>0.96</v>
      </c>
      <c r="J176">
        <f t="shared" si="9"/>
        <v>2.04</v>
      </c>
      <c r="K176">
        <f t="shared" si="10"/>
        <v>3.96</v>
      </c>
      <c r="L176">
        <f t="shared" si="11"/>
        <v>0.48</v>
      </c>
      <c r="M176" t="s">
        <v>360</v>
      </c>
      <c r="N176" t="s">
        <v>361</v>
      </c>
      <c r="O176">
        <v>14</v>
      </c>
      <c r="P176">
        <v>0.48</v>
      </c>
      <c r="Q176" s="46">
        <v>16</v>
      </c>
      <c r="R176">
        <v>2</v>
      </c>
    </row>
    <row r="177" spans="1:18" x14ac:dyDescent="0.25">
      <c r="A177">
        <v>176</v>
      </c>
      <c r="B177" t="s">
        <v>369</v>
      </c>
      <c r="C177" t="s">
        <v>359</v>
      </c>
      <c r="D177" s="7">
        <v>42481</v>
      </c>
      <c r="E177" t="s">
        <v>227</v>
      </c>
      <c r="G177" t="str">
        <f t="shared" si="8"/>
        <v>Ref</v>
      </c>
      <c r="H177">
        <v>3.4</v>
      </c>
      <c r="I177">
        <v>1.08</v>
      </c>
      <c r="J177">
        <f t="shared" si="9"/>
        <v>2.3199999999999998</v>
      </c>
      <c r="K177">
        <f t="shared" si="10"/>
        <v>4.4800000000000004</v>
      </c>
      <c r="L177">
        <f t="shared" si="11"/>
        <v>0.54</v>
      </c>
      <c r="M177" t="s">
        <v>360</v>
      </c>
      <c r="N177" t="s">
        <v>361</v>
      </c>
      <c r="O177">
        <v>14</v>
      </c>
      <c r="P177">
        <v>0.54</v>
      </c>
      <c r="Q177" s="46">
        <v>16</v>
      </c>
      <c r="R177">
        <v>2</v>
      </c>
    </row>
    <row r="178" spans="1:18" x14ac:dyDescent="0.25">
      <c r="A178">
        <v>177</v>
      </c>
      <c r="B178" t="s">
        <v>369</v>
      </c>
      <c r="C178" t="s">
        <v>359</v>
      </c>
      <c r="D178" s="7">
        <v>42481</v>
      </c>
      <c r="E178" t="s">
        <v>228</v>
      </c>
      <c r="G178" t="str">
        <f t="shared" si="8"/>
        <v>Ref</v>
      </c>
      <c r="H178">
        <v>19</v>
      </c>
      <c r="I178">
        <v>4.4000000000000004</v>
      </c>
      <c r="J178">
        <f t="shared" si="9"/>
        <v>14.6</v>
      </c>
      <c r="K178">
        <f t="shared" si="10"/>
        <v>23.4</v>
      </c>
      <c r="L178">
        <f t="shared" si="11"/>
        <v>2.2000000000000002</v>
      </c>
      <c r="M178" t="s">
        <v>360</v>
      </c>
      <c r="N178" t="s">
        <v>361</v>
      </c>
      <c r="O178">
        <v>17</v>
      </c>
      <c r="P178">
        <v>2.2000000000000002</v>
      </c>
      <c r="Q178" s="46">
        <v>11</v>
      </c>
      <c r="R178">
        <v>2</v>
      </c>
    </row>
    <row r="179" spans="1:18" x14ac:dyDescent="0.25">
      <c r="A179">
        <v>178</v>
      </c>
      <c r="B179" t="s">
        <v>369</v>
      </c>
      <c r="C179" t="s">
        <v>359</v>
      </c>
      <c r="D179" s="7">
        <v>42481</v>
      </c>
      <c r="E179" t="s">
        <v>229</v>
      </c>
      <c r="G179" t="str">
        <f t="shared" si="8"/>
        <v>Ref</v>
      </c>
      <c r="H179">
        <v>2.5</v>
      </c>
      <c r="I179">
        <v>0.88</v>
      </c>
      <c r="J179">
        <f t="shared" si="9"/>
        <v>1.62</v>
      </c>
      <c r="K179">
        <f t="shared" si="10"/>
        <v>3.38</v>
      </c>
      <c r="L179">
        <f t="shared" si="11"/>
        <v>0.44</v>
      </c>
      <c r="M179" t="s">
        <v>360</v>
      </c>
      <c r="N179" t="s">
        <v>361</v>
      </c>
      <c r="O179">
        <v>15</v>
      </c>
      <c r="P179">
        <v>0.44</v>
      </c>
      <c r="Q179" s="46">
        <v>18</v>
      </c>
      <c r="R179">
        <v>2</v>
      </c>
    </row>
    <row r="180" spans="1:18" x14ac:dyDescent="0.25">
      <c r="A180">
        <v>179</v>
      </c>
      <c r="B180" t="s">
        <v>369</v>
      </c>
      <c r="C180" t="s">
        <v>359</v>
      </c>
      <c r="D180" s="7">
        <v>42481</v>
      </c>
      <c r="E180" t="s">
        <v>230</v>
      </c>
      <c r="G180" t="str">
        <f t="shared" si="8"/>
        <v>Ref</v>
      </c>
      <c r="H180">
        <v>0.32</v>
      </c>
      <c r="I180">
        <v>6.2E-2</v>
      </c>
      <c r="J180">
        <f t="shared" si="9"/>
        <v>0.25800000000000001</v>
      </c>
      <c r="K180">
        <f t="shared" si="10"/>
        <v>0.38200000000000001</v>
      </c>
      <c r="L180">
        <f t="shared" si="11"/>
        <v>3.1E-2</v>
      </c>
      <c r="M180" t="s">
        <v>360</v>
      </c>
      <c r="N180" t="s">
        <v>361</v>
      </c>
      <c r="O180">
        <v>10</v>
      </c>
      <c r="P180">
        <v>3.1E-2</v>
      </c>
      <c r="Q180" s="46">
        <v>10</v>
      </c>
      <c r="R180">
        <v>2</v>
      </c>
    </row>
    <row r="181" spans="1:18" x14ac:dyDescent="0.25">
      <c r="A181">
        <v>180</v>
      </c>
      <c r="B181" t="s">
        <v>369</v>
      </c>
      <c r="C181" t="s">
        <v>359</v>
      </c>
      <c r="D181" s="7">
        <v>42481</v>
      </c>
      <c r="E181" t="s">
        <v>231</v>
      </c>
      <c r="G181" t="str">
        <f t="shared" si="8"/>
        <v>Ref</v>
      </c>
      <c r="H181">
        <v>0.3</v>
      </c>
      <c r="I181">
        <v>8.4000000000000005E-2</v>
      </c>
      <c r="J181">
        <f t="shared" si="9"/>
        <v>0.21599999999999997</v>
      </c>
      <c r="K181">
        <f t="shared" si="10"/>
        <v>0.38400000000000001</v>
      </c>
      <c r="L181">
        <f t="shared" si="11"/>
        <v>4.2000000000000003E-2</v>
      </c>
      <c r="M181" t="s">
        <v>360</v>
      </c>
      <c r="N181" t="s">
        <v>361</v>
      </c>
      <c r="O181">
        <v>7</v>
      </c>
      <c r="P181">
        <v>4.2000000000000003E-2</v>
      </c>
      <c r="Q181" s="46">
        <v>14</v>
      </c>
      <c r="R181">
        <v>2</v>
      </c>
    </row>
    <row r="182" spans="1:18" x14ac:dyDescent="0.25">
      <c r="A182">
        <v>181</v>
      </c>
      <c r="B182" t="s">
        <v>369</v>
      </c>
      <c r="C182" t="s">
        <v>359</v>
      </c>
      <c r="D182" s="7">
        <v>42481</v>
      </c>
      <c r="E182" t="s">
        <v>232</v>
      </c>
      <c r="G182" t="str">
        <f t="shared" si="8"/>
        <v>Ref</v>
      </c>
      <c r="H182">
        <v>0.84</v>
      </c>
      <c r="I182">
        <v>0.32</v>
      </c>
      <c r="J182">
        <f t="shared" si="9"/>
        <v>0.52</v>
      </c>
      <c r="K182">
        <f t="shared" si="10"/>
        <v>1.1599999999999999</v>
      </c>
      <c r="L182">
        <f t="shared" si="11"/>
        <v>0.16</v>
      </c>
      <c r="M182" t="s">
        <v>360</v>
      </c>
      <c r="N182" t="s">
        <v>361</v>
      </c>
      <c r="O182">
        <v>12</v>
      </c>
      <c r="P182">
        <v>0.16</v>
      </c>
      <c r="Q182" s="46">
        <v>19</v>
      </c>
      <c r="R182">
        <v>2</v>
      </c>
    </row>
    <row r="183" spans="1:18" x14ac:dyDescent="0.25">
      <c r="A183">
        <v>182</v>
      </c>
      <c r="B183" t="s">
        <v>369</v>
      </c>
      <c r="C183" t="s">
        <v>359</v>
      </c>
      <c r="D183" s="7">
        <v>42481</v>
      </c>
      <c r="E183" t="s">
        <v>233</v>
      </c>
      <c r="G183" t="str">
        <f t="shared" si="8"/>
        <v>Ref</v>
      </c>
      <c r="H183">
        <v>0.67</v>
      </c>
      <c r="I183">
        <v>0.48</v>
      </c>
      <c r="J183">
        <f t="shared" si="9"/>
        <v>0.19000000000000006</v>
      </c>
      <c r="K183">
        <f t="shared" si="10"/>
        <v>1.1499999999999999</v>
      </c>
      <c r="L183">
        <f t="shared" si="11"/>
        <v>0.24</v>
      </c>
      <c r="M183" t="s">
        <v>360</v>
      </c>
      <c r="N183" t="s">
        <v>361</v>
      </c>
      <c r="O183">
        <v>6</v>
      </c>
      <c r="P183">
        <v>0.24</v>
      </c>
      <c r="Q183" s="46">
        <v>36</v>
      </c>
      <c r="R183">
        <v>2</v>
      </c>
    </row>
    <row r="184" spans="1:18" x14ac:dyDescent="0.25">
      <c r="A184">
        <v>183</v>
      </c>
      <c r="B184" t="s">
        <v>369</v>
      </c>
      <c r="C184" t="s">
        <v>359</v>
      </c>
      <c r="D184" s="7">
        <v>42481</v>
      </c>
      <c r="E184" t="s">
        <v>83</v>
      </c>
      <c r="G184" t="str">
        <f t="shared" si="8"/>
        <v>Ref</v>
      </c>
      <c r="H184">
        <v>0.86</v>
      </c>
      <c r="I184">
        <v>0.42</v>
      </c>
      <c r="J184">
        <f t="shared" si="9"/>
        <v>0.44</v>
      </c>
      <c r="K184">
        <f t="shared" si="10"/>
        <v>1.28</v>
      </c>
      <c r="L184">
        <f t="shared" si="11"/>
        <v>0.21</v>
      </c>
      <c r="M184" t="s">
        <v>360</v>
      </c>
      <c r="N184" t="s">
        <v>361</v>
      </c>
      <c r="O184">
        <v>6</v>
      </c>
      <c r="P184">
        <v>0.21</v>
      </c>
      <c r="Q184" s="46">
        <v>25</v>
      </c>
      <c r="R184">
        <v>2</v>
      </c>
    </row>
    <row r="185" spans="1:18" x14ac:dyDescent="0.25">
      <c r="A185">
        <v>184</v>
      </c>
      <c r="B185" t="s">
        <v>369</v>
      </c>
      <c r="C185" t="s">
        <v>359</v>
      </c>
      <c r="D185" s="7">
        <v>42481</v>
      </c>
      <c r="E185" t="s">
        <v>84</v>
      </c>
      <c r="G185" t="str">
        <f t="shared" si="8"/>
        <v>Ref</v>
      </c>
      <c r="H185">
        <v>0.13</v>
      </c>
      <c r="I185">
        <v>8.5999999999999993E-2</v>
      </c>
      <c r="J185">
        <f t="shared" si="9"/>
        <v>4.4000000000000011E-2</v>
      </c>
      <c r="K185">
        <f t="shared" si="10"/>
        <v>0.216</v>
      </c>
      <c r="L185">
        <f t="shared" si="11"/>
        <v>4.2999999999999997E-2</v>
      </c>
      <c r="M185" t="s">
        <v>360</v>
      </c>
      <c r="N185" t="s">
        <v>361</v>
      </c>
      <c r="O185">
        <v>5</v>
      </c>
      <c r="P185">
        <v>4.2999999999999997E-2</v>
      </c>
      <c r="Q185" s="46">
        <v>34</v>
      </c>
      <c r="R185">
        <v>2</v>
      </c>
    </row>
    <row r="186" spans="1:18" x14ac:dyDescent="0.25">
      <c r="A186">
        <v>185</v>
      </c>
      <c r="B186" t="s">
        <v>369</v>
      </c>
      <c r="C186" t="s">
        <v>359</v>
      </c>
      <c r="D186" s="7">
        <v>42481</v>
      </c>
      <c r="E186" t="s">
        <v>85</v>
      </c>
      <c r="G186" t="str">
        <f t="shared" si="8"/>
        <v>Ref</v>
      </c>
      <c r="H186">
        <v>2.4</v>
      </c>
      <c r="I186">
        <v>1.36</v>
      </c>
      <c r="J186">
        <f t="shared" si="9"/>
        <v>1.0399999999999998</v>
      </c>
      <c r="K186">
        <f t="shared" si="10"/>
        <v>3.76</v>
      </c>
      <c r="L186">
        <f t="shared" si="11"/>
        <v>0.68</v>
      </c>
      <c r="M186" t="s">
        <v>360</v>
      </c>
      <c r="N186" t="s">
        <v>361</v>
      </c>
      <c r="O186">
        <v>5</v>
      </c>
      <c r="P186">
        <v>0.68</v>
      </c>
      <c r="Q186" s="46">
        <v>28</v>
      </c>
      <c r="R186">
        <v>2</v>
      </c>
    </row>
    <row r="187" spans="1:18" x14ac:dyDescent="0.25">
      <c r="A187">
        <v>186</v>
      </c>
      <c r="B187" t="s">
        <v>369</v>
      </c>
      <c r="C187" t="s">
        <v>359</v>
      </c>
      <c r="D187" s="7">
        <v>42481</v>
      </c>
      <c r="E187" t="s">
        <v>86</v>
      </c>
      <c r="G187" t="str">
        <f t="shared" si="8"/>
        <v>Ref</v>
      </c>
      <c r="H187">
        <v>2.7</v>
      </c>
      <c r="I187">
        <v>1.46</v>
      </c>
      <c r="J187">
        <f t="shared" si="9"/>
        <v>1.2400000000000002</v>
      </c>
      <c r="K187">
        <f t="shared" si="10"/>
        <v>4.16</v>
      </c>
      <c r="L187">
        <f t="shared" si="11"/>
        <v>0.73</v>
      </c>
      <c r="M187" t="s">
        <v>360</v>
      </c>
      <c r="N187" t="s">
        <v>361</v>
      </c>
      <c r="O187">
        <v>6</v>
      </c>
      <c r="P187">
        <v>0.73</v>
      </c>
      <c r="Q187" s="46">
        <v>27</v>
      </c>
      <c r="R187">
        <v>2</v>
      </c>
    </row>
    <row r="188" spans="1:18" x14ac:dyDescent="0.25">
      <c r="A188">
        <v>187</v>
      </c>
      <c r="B188" t="s">
        <v>369</v>
      </c>
      <c r="C188" t="s">
        <v>359</v>
      </c>
      <c r="D188" s="7">
        <v>42481</v>
      </c>
      <c r="E188" t="s">
        <v>87</v>
      </c>
      <c r="G188" t="str">
        <f t="shared" si="8"/>
        <v>Ref</v>
      </c>
      <c r="H188">
        <v>0.28000000000000003</v>
      </c>
      <c r="I188">
        <v>8.7999999999999995E-2</v>
      </c>
      <c r="J188">
        <f t="shared" si="9"/>
        <v>0.19200000000000003</v>
      </c>
      <c r="K188">
        <f t="shared" si="10"/>
        <v>0.36799999999999999</v>
      </c>
      <c r="L188">
        <f t="shared" si="11"/>
        <v>4.3999999999999997E-2</v>
      </c>
      <c r="M188" t="s">
        <v>360</v>
      </c>
      <c r="N188" t="s">
        <v>361</v>
      </c>
      <c r="O188">
        <v>17</v>
      </c>
      <c r="P188">
        <v>4.3999999999999997E-2</v>
      </c>
      <c r="Q188" s="46">
        <v>16</v>
      </c>
      <c r="R188">
        <v>2</v>
      </c>
    </row>
    <row r="189" spans="1:18" x14ac:dyDescent="0.25">
      <c r="A189">
        <v>188</v>
      </c>
      <c r="B189" t="s">
        <v>369</v>
      </c>
      <c r="C189" t="s">
        <v>359</v>
      </c>
      <c r="D189" s="7">
        <v>42481</v>
      </c>
      <c r="E189" t="s">
        <v>88</v>
      </c>
      <c r="G189" t="str">
        <f t="shared" si="8"/>
        <v>Ref</v>
      </c>
      <c r="H189">
        <v>0.12</v>
      </c>
      <c r="I189">
        <v>4.2000000000000003E-2</v>
      </c>
      <c r="J189">
        <f t="shared" si="9"/>
        <v>7.7999999999999986E-2</v>
      </c>
      <c r="K189">
        <f t="shared" si="10"/>
        <v>0.16200000000000001</v>
      </c>
      <c r="L189">
        <f t="shared" si="11"/>
        <v>2.1000000000000001E-2</v>
      </c>
      <c r="M189" t="s">
        <v>360</v>
      </c>
      <c r="N189" t="s">
        <v>361</v>
      </c>
      <c r="O189">
        <v>14</v>
      </c>
      <c r="P189">
        <v>2.1000000000000001E-2</v>
      </c>
      <c r="Q189" s="46">
        <v>17</v>
      </c>
      <c r="R189">
        <v>2</v>
      </c>
    </row>
    <row r="190" spans="1:18" x14ac:dyDescent="0.25">
      <c r="A190">
        <v>189</v>
      </c>
      <c r="B190" t="s">
        <v>369</v>
      </c>
      <c r="C190" t="s">
        <v>359</v>
      </c>
      <c r="D190" s="7">
        <v>42481</v>
      </c>
      <c r="E190" t="s">
        <v>89</v>
      </c>
      <c r="G190" t="str">
        <f t="shared" si="8"/>
        <v>Ref</v>
      </c>
      <c r="H190">
        <v>0.11</v>
      </c>
      <c r="I190">
        <v>4.2000000000000003E-2</v>
      </c>
      <c r="J190">
        <f t="shared" si="9"/>
        <v>6.8000000000000005E-2</v>
      </c>
      <c r="K190">
        <f t="shared" si="10"/>
        <v>0.152</v>
      </c>
      <c r="L190">
        <f t="shared" si="11"/>
        <v>2.1000000000000001E-2</v>
      </c>
      <c r="M190" t="s">
        <v>360</v>
      </c>
      <c r="N190" t="s">
        <v>361</v>
      </c>
      <c r="O190">
        <v>16</v>
      </c>
      <c r="P190">
        <v>2.1000000000000001E-2</v>
      </c>
      <c r="Q190" s="46">
        <v>20</v>
      </c>
      <c r="R190">
        <v>2</v>
      </c>
    </row>
    <row r="191" spans="1:18" x14ac:dyDescent="0.25">
      <c r="A191">
        <v>190</v>
      </c>
      <c r="B191" t="s">
        <v>369</v>
      </c>
      <c r="C191" t="s">
        <v>359</v>
      </c>
      <c r="D191" s="7">
        <v>42481</v>
      </c>
      <c r="E191" t="s">
        <v>90</v>
      </c>
      <c r="G191" t="str">
        <f t="shared" si="8"/>
        <v>Ref</v>
      </c>
      <c r="H191">
        <v>0.65</v>
      </c>
      <c r="I191">
        <v>0.24</v>
      </c>
      <c r="J191">
        <f t="shared" si="9"/>
        <v>0.41000000000000003</v>
      </c>
      <c r="K191">
        <f t="shared" si="10"/>
        <v>0.89</v>
      </c>
      <c r="L191">
        <f t="shared" si="11"/>
        <v>0.12</v>
      </c>
      <c r="M191" t="s">
        <v>360</v>
      </c>
      <c r="N191" t="s">
        <v>361</v>
      </c>
      <c r="O191">
        <v>18</v>
      </c>
      <c r="P191">
        <v>0.12</v>
      </c>
      <c r="Q191" s="46">
        <v>18</v>
      </c>
      <c r="R191">
        <v>2</v>
      </c>
    </row>
    <row r="192" spans="1:18" x14ac:dyDescent="0.25">
      <c r="A192">
        <v>191</v>
      </c>
      <c r="B192" t="s">
        <v>369</v>
      </c>
      <c r="C192" t="s">
        <v>359</v>
      </c>
      <c r="D192" s="7">
        <v>42481</v>
      </c>
      <c r="E192" t="s">
        <v>91</v>
      </c>
      <c r="G192" t="str">
        <f t="shared" si="8"/>
        <v>Ref</v>
      </c>
      <c r="H192">
        <v>0.15</v>
      </c>
      <c r="I192">
        <v>4.2000000000000003E-2</v>
      </c>
      <c r="J192">
        <f t="shared" si="9"/>
        <v>0.10799999999999998</v>
      </c>
      <c r="K192">
        <f t="shared" si="10"/>
        <v>0.192</v>
      </c>
      <c r="L192">
        <f t="shared" si="11"/>
        <v>2.1000000000000001E-2</v>
      </c>
      <c r="M192" t="s">
        <v>360</v>
      </c>
      <c r="N192" t="s">
        <v>361</v>
      </c>
      <c r="O192">
        <v>6</v>
      </c>
      <c r="P192">
        <v>2.1000000000000001E-2</v>
      </c>
      <c r="Q192" s="46">
        <v>14</v>
      </c>
      <c r="R192">
        <v>2</v>
      </c>
    </row>
    <row r="193" spans="1:18" x14ac:dyDescent="0.25">
      <c r="A193">
        <v>192</v>
      </c>
      <c r="B193" t="s">
        <v>369</v>
      </c>
      <c r="C193" t="s">
        <v>359</v>
      </c>
      <c r="D193" s="7">
        <v>42481</v>
      </c>
      <c r="E193" t="s">
        <v>92</v>
      </c>
      <c r="G193" t="str">
        <f t="shared" si="8"/>
        <v>Ref</v>
      </c>
      <c r="H193">
        <v>0.67</v>
      </c>
      <c r="I193">
        <v>0.54</v>
      </c>
      <c r="J193">
        <f t="shared" si="9"/>
        <v>0.13</v>
      </c>
      <c r="K193">
        <f t="shared" si="10"/>
        <v>1.21</v>
      </c>
      <c r="L193">
        <f t="shared" si="11"/>
        <v>0.27</v>
      </c>
      <c r="M193" t="s">
        <v>360</v>
      </c>
      <c r="N193" t="s">
        <v>361</v>
      </c>
      <c r="O193">
        <v>7</v>
      </c>
      <c r="P193">
        <v>0.27</v>
      </c>
      <c r="Q193" s="46">
        <v>40</v>
      </c>
      <c r="R193">
        <v>2</v>
      </c>
    </row>
    <row r="194" spans="1:18" x14ac:dyDescent="0.25">
      <c r="A194">
        <v>193</v>
      </c>
      <c r="B194" t="s">
        <v>369</v>
      </c>
      <c r="C194" t="s">
        <v>359</v>
      </c>
      <c r="D194" s="7">
        <v>42481</v>
      </c>
      <c r="E194" t="s">
        <v>93</v>
      </c>
      <c r="G194" t="str">
        <f t="shared" si="8"/>
        <v>Ref</v>
      </c>
      <c r="H194">
        <v>1.9</v>
      </c>
      <c r="I194">
        <v>0.94</v>
      </c>
      <c r="J194">
        <f t="shared" si="9"/>
        <v>0.96</v>
      </c>
      <c r="K194">
        <f t="shared" si="10"/>
        <v>2.84</v>
      </c>
      <c r="L194">
        <f t="shared" si="11"/>
        <v>0.47</v>
      </c>
      <c r="M194" t="s">
        <v>360</v>
      </c>
      <c r="N194" t="s">
        <v>361</v>
      </c>
      <c r="O194">
        <v>19</v>
      </c>
      <c r="P194">
        <v>0.47</v>
      </c>
      <c r="Q194" s="46">
        <v>24</v>
      </c>
      <c r="R194">
        <v>2</v>
      </c>
    </row>
    <row r="195" spans="1:18" x14ac:dyDescent="0.25">
      <c r="A195">
        <v>194</v>
      </c>
      <c r="B195" t="s">
        <v>369</v>
      </c>
      <c r="C195" t="s">
        <v>359</v>
      </c>
      <c r="D195" s="7">
        <v>42481</v>
      </c>
      <c r="E195" t="s">
        <v>94</v>
      </c>
      <c r="G195" t="str">
        <f t="shared" ref="G195:G258" si="12">IF(Q195&gt;40,"NA",IF(O195&gt;=5,"Ref","Inf"))</f>
        <v>Ref</v>
      </c>
      <c r="H195">
        <v>0.82</v>
      </c>
      <c r="I195">
        <v>0.2</v>
      </c>
      <c r="J195">
        <f t="shared" ref="J195:J258" si="13">H195-I195</f>
        <v>0.61999999999999988</v>
      </c>
      <c r="K195">
        <f t="shared" ref="K195:K258" si="14">H195+I195</f>
        <v>1.02</v>
      </c>
      <c r="L195">
        <f t="shared" ref="L195:L258" si="15">I195/R195</f>
        <v>0.1</v>
      </c>
      <c r="M195" t="s">
        <v>360</v>
      </c>
      <c r="N195" t="s">
        <v>361</v>
      </c>
      <c r="O195">
        <v>19</v>
      </c>
      <c r="P195">
        <v>0.1</v>
      </c>
      <c r="Q195" s="46">
        <v>12</v>
      </c>
      <c r="R195">
        <v>2</v>
      </c>
    </row>
    <row r="196" spans="1:18" x14ac:dyDescent="0.25">
      <c r="A196">
        <v>195</v>
      </c>
      <c r="B196" t="s">
        <v>369</v>
      </c>
      <c r="C196" t="s">
        <v>359</v>
      </c>
      <c r="D196" s="7">
        <v>42481</v>
      </c>
      <c r="E196" t="s">
        <v>234</v>
      </c>
      <c r="G196" t="str">
        <f t="shared" si="12"/>
        <v>Ref</v>
      </c>
      <c r="H196">
        <v>0.19</v>
      </c>
      <c r="I196">
        <v>9.8000000000000004E-2</v>
      </c>
      <c r="J196">
        <f t="shared" si="13"/>
        <v>9.1999999999999998E-2</v>
      </c>
      <c r="K196">
        <f t="shared" si="14"/>
        <v>0.28800000000000003</v>
      </c>
      <c r="L196">
        <f t="shared" si="15"/>
        <v>4.9000000000000002E-2</v>
      </c>
      <c r="M196" t="s">
        <v>360</v>
      </c>
      <c r="N196" t="s">
        <v>361</v>
      </c>
      <c r="O196">
        <v>5</v>
      </c>
      <c r="P196">
        <v>4.9000000000000002E-2</v>
      </c>
      <c r="Q196" s="46">
        <v>25</v>
      </c>
      <c r="R196">
        <v>2</v>
      </c>
    </row>
    <row r="197" spans="1:18" x14ac:dyDescent="0.25">
      <c r="A197">
        <v>196</v>
      </c>
      <c r="B197" t="s">
        <v>369</v>
      </c>
      <c r="C197" t="s">
        <v>359</v>
      </c>
      <c r="D197" s="7">
        <v>42481</v>
      </c>
      <c r="E197" t="s">
        <v>235</v>
      </c>
      <c r="G197" t="str">
        <f t="shared" si="12"/>
        <v>Ref</v>
      </c>
      <c r="H197">
        <v>8.4</v>
      </c>
      <c r="I197">
        <v>2.8</v>
      </c>
      <c r="J197">
        <f t="shared" si="13"/>
        <v>5.6000000000000005</v>
      </c>
      <c r="K197">
        <f t="shared" si="14"/>
        <v>11.2</v>
      </c>
      <c r="L197">
        <f t="shared" si="15"/>
        <v>1.4</v>
      </c>
      <c r="M197" t="s">
        <v>360</v>
      </c>
      <c r="N197" t="s">
        <v>361</v>
      </c>
      <c r="O197">
        <v>14</v>
      </c>
      <c r="P197">
        <v>1.4</v>
      </c>
      <c r="Q197" s="46">
        <v>17</v>
      </c>
      <c r="R197">
        <v>2</v>
      </c>
    </row>
    <row r="198" spans="1:18" x14ac:dyDescent="0.25">
      <c r="A198">
        <v>197</v>
      </c>
      <c r="B198" t="s">
        <v>369</v>
      </c>
      <c r="C198" t="s">
        <v>359</v>
      </c>
      <c r="D198" s="7">
        <v>42481</v>
      </c>
      <c r="E198" t="s">
        <v>236</v>
      </c>
      <c r="G198" t="str">
        <f t="shared" si="12"/>
        <v>Ref</v>
      </c>
      <c r="H198">
        <v>0.66</v>
      </c>
      <c r="I198">
        <v>0.48</v>
      </c>
      <c r="J198">
        <f t="shared" si="13"/>
        <v>0.18000000000000005</v>
      </c>
      <c r="K198">
        <f t="shared" si="14"/>
        <v>1.1400000000000001</v>
      </c>
      <c r="L198">
        <f t="shared" si="15"/>
        <v>0.24</v>
      </c>
      <c r="M198" t="s">
        <v>360</v>
      </c>
      <c r="N198" t="s">
        <v>361</v>
      </c>
      <c r="O198">
        <v>10</v>
      </c>
      <c r="P198">
        <v>0.24</v>
      </c>
      <c r="Q198" s="46">
        <v>36</v>
      </c>
      <c r="R198">
        <v>2</v>
      </c>
    </row>
    <row r="199" spans="1:18" x14ac:dyDescent="0.25">
      <c r="A199">
        <v>198</v>
      </c>
      <c r="B199" t="s">
        <v>369</v>
      </c>
      <c r="C199" t="s">
        <v>359</v>
      </c>
      <c r="D199" s="7">
        <v>42481</v>
      </c>
      <c r="E199" t="s">
        <v>237</v>
      </c>
      <c r="G199" t="str">
        <f t="shared" si="12"/>
        <v>Ref</v>
      </c>
      <c r="H199">
        <v>4.7</v>
      </c>
      <c r="I199">
        <v>1.28</v>
      </c>
      <c r="J199">
        <f t="shared" si="13"/>
        <v>3.42</v>
      </c>
      <c r="K199">
        <f t="shared" si="14"/>
        <v>5.98</v>
      </c>
      <c r="L199">
        <f t="shared" si="15"/>
        <v>0.64</v>
      </c>
      <c r="M199" t="s">
        <v>360</v>
      </c>
      <c r="N199" t="s">
        <v>361</v>
      </c>
      <c r="O199">
        <v>14</v>
      </c>
      <c r="P199">
        <v>0.64</v>
      </c>
      <c r="Q199" s="46">
        <v>14</v>
      </c>
      <c r="R199">
        <v>2</v>
      </c>
    </row>
    <row r="200" spans="1:18" x14ac:dyDescent="0.25">
      <c r="A200">
        <v>199</v>
      </c>
      <c r="B200" t="s">
        <v>369</v>
      </c>
      <c r="C200" t="s">
        <v>359</v>
      </c>
      <c r="D200" s="7">
        <v>42481</v>
      </c>
      <c r="E200" t="s">
        <v>238</v>
      </c>
      <c r="G200" t="str">
        <f t="shared" si="12"/>
        <v>Ref</v>
      </c>
      <c r="H200">
        <v>5.8</v>
      </c>
      <c r="I200">
        <v>2.6</v>
      </c>
      <c r="J200">
        <f t="shared" si="13"/>
        <v>3.1999999999999997</v>
      </c>
      <c r="K200">
        <f t="shared" si="14"/>
        <v>8.4</v>
      </c>
      <c r="L200">
        <f t="shared" si="15"/>
        <v>1.3</v>
      </c>
      <c r="M200" t="s">
        <v>360</v>
      </c>
      <c r="N200" t="s">
        <v>361</v>
      </c>
      <c r="O200">
        <v>14</v>
      </c>
      <c r="P200">
        <v>1.3</v>
      </c>
      <c r="Q200" s="46">
        <v>22</v>
      </c>
      <c r="R200">
        <v>2</v>
      </c>
    </row>
    <row r="201" spans="1:18" x14ac:dyDescent="0.25">
      <c r="A201">
        <v>200</v>
      </c>
      <c r="B201" t="s">
        <v>369</v>
      </c>
      <c r="C201" t="s">
        <v>359</v>
      </c>
      <c r="D201" s="7">
        <v>42481</v>
      </c>
      <c r="E201" t="s">
        <v>239</v>
      </c>
      <c r="G201" t="str">
        <f t="shared" si="12"/>
        <v>Ref</v>
      </c>
      <c r="H201">
        <v>100</v>
      </c>
      <c r="I201">
        <v>30</v>
      </c>
      <c r="J201">
        <f t="shared" si="13"/>
        <v>70</v>
      </c>
      <c r="K201">
        <f t="shared" si="14"/>
        <v>130</v>
      </c>
      <c r="L201">
        <f t="shared" si="15"/>
        <v>15</v>
      </c>
      <c r="M201" t="s">
        <v>360</v>
      </c>
      <c r="N201" t="s">
        <v>361</v>
      </c>
      <c r="O201">
        <v>21</v>
      </c>
      <c r="P201">
        <v>15</v>
      </c>
      <c r="Q201" s="46">
        <v>15</v>
      </c>
      <c r="R201">
        <v>2</v>
      </c>
    </row>
    <row r="202" spans="1:18" x14ac:dyDescent="0.25">
      <c r="A202">
        <v>201</v>
      </c>
      <c r="B202" t="s">
        <v>369</v>
      </c>
      <c r="C202" t="s">
        <v>359</v>
      </c>
      <c r="D202" s="7">
        <v>42481</v>
      </c>
      <c r="E202" t="s">
        <v>240</v>
      </c>
      <c r="G202" t="str">
        <f t="shared" si="12"/>
        <v>Ref</v>
      </c>
      <c r="H202">
        <v>16</v>
      </c>
      <c r="I202">
        <v>4.4000000000000004</v>
      </c>
      <c r="J202">
        <f t="shared" si="13"/>
        <v>11.6</v>
      </c>
      <c r="K202">
        <f t="shared" si="14"/>
        <v>20.399999999999999</v>
      </c>
      <c r="L202">
        <f t="shared" si="15"/>
        <v>2.2000000000000002</v>
      </c>
      <c r="M202" t="s">
        <v>360</v>
      </c>
      <c r="N202" t="s">
        <v>361</v>
      </c>
      <c r="O202">
        <v>17</v>
      </c>
      <c r="P202">
        <v>2.2000000000000002</v>
      </c>
      <c r="Q202" s="46">
        <v>14</v>
      </c>
      <c r="R202">
        <v>2</v>
      </c>
    </row>
    <row r="203" spans="1:18" x14ac:dyDescent="0.25">
      <c r="A203">
        <v>202</v>
      </c>
      <c r="B203" t="s">
        <v>369</v>
      </c>
      <c r="C203" t="s">
        <v>359</v>
      </c>
      <c r="D203" s="7">
        <v>42481</v>
      </c>
      <c r="E203" t="s">
        <v>241</v>
      </c>
      <c r="G203" t="str">
        <f t="shared" si="12"/>
        <v>Ref</v>
      </c>
      <c r="H203">
        <v>2.5</v>
      </c>
      <c r="I203">
        <v>1.1599999999999999</v>
      </c>
      <c r="J203">
        <f t="shared" si="13"/>
        <v>1.34</v>
      </c>
      <c r="K203">
        <f t="shared" si="14"/>
        <v>3.66</v>
      </c>
      <c r="L203">
        <f t="shared" si="15"/>
        <v>0.57999999999999996</v>
      </c>
      <c r="M203" t="s">
        <v>360</v>
      </c>
      <c r="N203" t="s">
        <v>361</v>
      </c>
      <c r="O203">
        <v>9</v>
      </c>
      <c r="P203">
        <v>0.57999999999999996</v>
      </c>
      <c r="Q203" s="46">
        <v>23</v>
      </c>
      <c r="R203">
        <v>2</v>
      </c>
    </row>
    <row r="204" spans="1:18" x14ac:dyDescent="0.25">
      <c r="A204">
        <v>203</v>
      </c>
      <c r="B204" t="s">
        <v>369</v>
      </c>
      <c r="C204" t="s">
        <v>359</v>
      </c>
      <c r="D204" s="7">
        <v>42481</v>
      </c>
      <c r="E204" t="s">
        <v>242</v>
      </c>
      <c r="G204" t="str">
        <f t="shared" si="12"/>
        <v>Ref</v>
      </c>
      <c r="H204">
        <v>0.52</v>
      </c>
      <c r="I204">
        <v>0.42</v>
      </c>
      <c r="J204">
        <f t="shared" si="13"/>
        <v>0.10000000000000003</v>
      </c>
      <c r="K204">
        <f t="shared" si="14"/>
        <v>0.94</v>
      </c>
      <c r="L204">
        <f t="shared" si="15"/>
        <v>0.21</v>
      </c>
      <c r="M204" t="s">
        <v>360</v>
      </c>
      <c r="N204" t="s">
        <v>361</v>
      </c>
      <c r="O204">
        <v>6</v>
      </c>
      <c r="P204">
        <v>0.21</v>
      </c>
      <c r="Q204" s="46">
        <v>39</v>
      </c>
      <c r="R204">
        <v>2</v>
      </c>
    </row>
    <row r="205" spans="1:18" x14ac:dyDescent="0.25">
      <c r="A205">
        <v>204</v>
      </c>
      <c r="B205" t="s">
        <v>369</v>
      </c>
      <c r="C205" t="s">
        <v>359</v>
      </c>
      <c r="D205" s="7">
        <v>42481</v>
      </c>
      <c r="E205" t="s">
        <v>243</v>
      </c>
      <c r="G205" t="str">
        <f t="shared" si="12"/>
        <v>Ref</v>
      </c>
      <c r="H205">
        <v>2</v>
      </c>
      <c r="I205">
        <v>0.98</v>
      </c>
      <c r="J205">
        <f t="shared" si="13"/>
        <v>1.02</v>
      </c>
      <c r="K205">
        <f t="shared" si="14"/>
        <v>2.98</v>
      </c>
      <c r="L205">
        <f t="shared" si="15"/>
        <v>0.49</v>
      </c>
      <c r="M205" t="s">
        <v>360</v>
      </c>
      <c r="N205" t="s">
        <v>361</v>
      </c>
      <c r="O205">
        <v>11</v>
      </c>
      <c r="P205">
        <v>0.49</v>
      </c>
      <c r="Q205" s="46">
        <v>24</v>
      </c>
      <c r="R205">
        <v>2</v>
      </c>
    </row>
    <row r="206" spans="1:18" x14ac:dyDescent="0.25">
      <c r="A206">
        <v>205</v>
      </c>
      <c r="B206" t="s">
        <v>369</v>
      </c>
      <c r="C206" t="s">
        <v>359</v>
      </c>
      <c r="D206" s="7">
        <v>42481</v>
      </c>
      <c r="E206" t="s">
        <v>244</v>
      </c>
      <c r="G206" t="str">
        <f t="shared" si="12"/>
        <v>Ref</v>
      </c>
      <c r="H206">
        <v>20</v>
      </c>
      <c r="I206">
        <v>7.4</v>
      </c>
      <c r="J206">
        <f t="shared" si="13"/>
        <v>12.6</v>
      </c>
      <c r="K206">
        <f t="shared" si="14"/>
        <v>27.4</v>
      </c>
      <c r="L206">
        <f t="shared" si="15"/>
        <v>3.7</v>
      </c>
      <c r="M206" t="s">
        <v>360</v>
      </c>
      <c r="N206" t="s">
        <v>361</v>
      </c>
      <c r="O206">
        <v>22</v>
      </c>
      <c r="P206">
        <v>3.7</v>
      </c>
      <c r="Q206" s="46">
        <v>18</v>
      </c>
      <c r="R206">
        <v>2</v>
      </c>
    </row>
    <row r="207" spans="1:18" x14ac:dyDescent="0.25">
      <c r="A207">
        <v>206</v>
      </c>
      <c r="B207" t="s">
        <v>369</v>
      </c>
      <c r="C207" t="s">
        <v>359</v>
      </c>
      <c r="D207" s="7">
        <v>42481</v>
      </c>
      <c r="E207" t="s">
        <v>245</v>
      </c>
      <c r="G207" t="str">
        <f t="shared" si="12"/>
        <v>Ref</v>
      </c>
      <c r="H207">
        <v>9.6</v>
      </c>
      <c r="I207">
        <v>3</v>
      </c>
      <c r="J207">
        <f t="shared" si="13"/>
        <v>6.6</v>
      </c>
      <c r="K207">
        <f t="shared" si="14"/>
        <v>12.6</v>
      </c>
      <c r="L207">
        <f t="shared" si="15"/>
        <v>1.5</v>
      </c>
      <c r="M207" t="s">
        <v>360</v>
      </c>
      <c r="N207" t="s">
        <v>361</v>
      </c>
      <c r="O207">
        <v>22</v>
      </c>
      <c r="P207">
        <v>1.5</v>
      </c>
      <c r="Q207" s="46">
        <v>16</v>
      </c>
      <c r="R207">
        <v>2</v>
      </c>
    </row>
    <row r="208" spans="1:18" x14ac:dyDescent="0.25">
      <c r="A208">
        <v>207</v>
      </c>
      <c r="B208" t="s">
        <v>369</v>
      </c>
      <c r="C208" t="s">
        <v>359</v>
      </c>
      <c r="D208" s="7">
        <v>42481</v>
      </c>
      <c r="E208" t="s">
        <v>246</v>
      </c>
      <c r="G208" t="str">
        <f t="shared" si="12"/>
        <v>Ref</v>
      </c>
      <c r="H208">
        <v>1.3</v>
      </c>
      <c r="I208">
        <v>0.82</v>
      </c>
      <c r="J208">
        <f t="shared" si="13"/>
        <v>0.48000000000000009</v>
      </c>
      <c r="K208">
        <f t="shared" si="14"/>
        <v>2.12</v>
      </c>
      <c r="L208">
        <f t="shared" si="15"/>
        <v>0.41</v>
      </c>
      <c r="M208" t="s">
        <v>360</v>
      </c>
      <c r="N208" t="s">
        <v>361</v>
      </c>
      <c r="O208">
        <v>13</v>
      </c>
      <c r="P208">
        <v>0.41</v>
      </c>
      <c r="Q208" s="46">
        <v>31</v>
      </c>
      <c r="R208">
        <v>2</v>
      </c>
    </row>
    <row r="209" spans="1:18" x14ac:dyDescent="0.25">
      <c r="A209">
        <v>208</v>
      </c>
      <c r="B209" t="s">
        <v>369</v>
      </c>
      <c r="C209" t="s">
        <v>359</v>
      </c>
      <c r="D209" s="7">
        <v>42481</v>
      </c>
      <c r="E209" t="s">
        <v>247</v>
      </c>
      <c r="G209" t="str">
        <f t="shared" si="12"/>
        <v>Ref</v>
      </c>
      <c r="H209">
        <v>1</v>
      </c>
      <c r="I209">
        <v>0.46</v>
      </c>
      <c r="J209">
        <f t="shared" si="13"/>
        <v>0.54</v>
      </c>
      <c r="K209">
        <f t="shared" si="14"/>
        <v>1.46</v>
      </c>
      <c r="L209">
        <f t="shared" si="15"/>
        <v>0.23</v>
      </c>
      <c r="M209" t="s">
        <v>360</v>
      </c>
      <c r="N209" t="s">
        <v>361</v>
      </c>
      <c r="O209">
        <v>11</v>
      </c>
      <c r="P209">
        <v>0.23</v>
      </c>
      <c r="Q209" s="46">
        <v>23</v>
      </c>
      <c r="R209">
        <v>2</v>
      </c>
    </row>
    <row r="210" spans="1:18" x14ac:dyDescent="0.25">
      <c r="A210">
        <v>209</v>
      </c>
      <c r="B210" t="s">
        <v>369</v>
      </c>
      <c r="C210" t="s">
        <v>359</v>
      </c>
      <c r="D210" s="7">
        <v>42481</v>
      </c>
      <c r="E210" t="s">
        <v>248</v>
      </c>
      <c r="G210" t="str">
        <f t="shared" si="12"/>
        <v>Ref</v>
      </c>
      <c r="H210">
        <v>11</v>
      </c>
      <c r="I210">
        <v>6.2</v>
      </c>
      <c r="J210">
        <f t="shared" si="13"/>
        <v>4.8</v>
      </c>
      <c r="K210">
        <f t="shared" si="14"/>
        <v>17.2</v>
      </c>
      <c r="L210">
        <f t="shared" si="15"/>
        <v>3.1</v>
      </c>
      <c r="M210" t="s">
        <v>360</v>
      </c>
      <c r="N210" t="s">
        <v>361</v>
      </c>
      <c r="O210">
        <v>17</v>
      </c>
      <c r="P210">
        <v>3.1</v>
      </c>
      <c r="Q210" s="46">
        <v>27</v>
      </c>
      <c r="R210">
        <v>2</v>
      </c>
    </row>
    <row r="211" spans="1:18" x14ac:dyDescent="0.25">
      <c r="A211">
        <v>210</v>
      </c>
      <c r="B211" t="s">
        <v>369</v>
      </c>
      <c r="C211" t="s">
        <v>359</v>
      </c>
      <c r="D211" s="7">
        <v>42481</v>
      </c>
      <c r="E211" t="s">
        <v>249</v>
      </c>
      <c r="G211" t="str">
        <f t="shared" si="12"/>
        <v>Ref</v>
      </c>
      <c r="H211">
        <v>5.2</v>
      </c>
      <c r="I211">
        <v>2.6</v>
      </c>
      <c r="J211">
        <f t="shared" si="13"/>
        <v>2.6</v>
      </c>
      <c r="K211">
        <f t="shared" si="14"/>
        <v>7.8000000000000007</v>
      </c>
      <c r="L211">
        <f t="shared" si="15"/>
        <v>1.3</v>
      </c>
      <c r="M211" t="s">
        <v>360</v>
      </c>
      <c r="N211" t="s">
        <v>361</v>
      </c>
      <c r="O211">
        <v>17</v>
      </c>
      <c r="P211">
        <v>1.3</v>
      </c>
      <c r="Q211" s="46">
        <v>25</v>
      </c>
      <c r="R211">
        <v>2</v>
      </c>
    </row>
    <row r="212" spans="1:18" x14ac:dyDescent="0.25">
      <c r="A212">
        <v>211</v>
      </c>
      <c r="B212" t="s">
        <v>369</v>
      </c>
      <c r="C212" t="s">
        <v>359</v>
      </c>
      <c r="D212" s="7">
        <v>42481</v>
      </c>
      <c r="E212" t="s">
        <v>250</v>
      </c>
      <c r="G212" t="str">
        <f t="shared" si="12"/>
        <v>Ref</v>
      </c>
      <c r="H212">
        <v>0.61</v>
      </c>
      <c r="I212">
        <v>0.48</v>
      </c>
      <c r="J212">
        <f t="shared" si="13"/>
        <v>0.13</v>
      </c>
      <c r="K212">
        <f t="shared" si="14"/>
        <v>1.0899999999999999</v>
      </c>
      <c r="L212">
        <f t="shared" si="15"/>
        <v>0.24</v>
      </c>
      <c r="M212" t="s">
        <v>360</v>
      </c>
      <c r="N212" t="s">
        <v>361</v>
      </c>
      <c r="O212">
        <v>8</v>
      </c>
      <c r="P212">
        <v>0.24</v>
      </c>
      <c r="Q212" s="46">
        <v>39</v>
      </c>
      <c r="R212">
        <v>2</v>
      </c>
    </row>
    <row r="213" spans="1:18" x14ac:dyDescent="0.25">
      <c r="A213">
        <v>212</v>
      </c>
      <c r="B213" t="s">
        <v>369</v>
      </c>
      <c r="C213" t="s">
        <v>359</v>
      </c>
      <c r="D213" s="7">
        <v>42481</v>
      </c>
      <c r="E213" t="s">
        <v>251</v>
      </c>
      <c r="G213" t="str">
        <f t="shared" si="12"/>
        <v>Ref</v>
      </c>
      <c r="H213">
        <v>3.6</v>
      </c>
      <c r="I213">
        <v>2</v>
      </c>
      <c r="J213">
        <f t="shared" si="13"/>
        <v>1.6</v>
      </c>
      <c r="K213">
        <f t="shared" si="14"/>
        <v>5.6</v>
      </c>
      <c r="L213">
        <f t="shared" si="15"/>
        <v>1</v>
      </c>
      <c r="M213" t="s">
        <v>360</v>
      </c>
      <c r="N213" t="s">
        <v>361</v>
      </c>
      <c r="O213">
        <v>14</v>
      </c>
      <c r="P213">
        <v>1</v>
      </c>
      <c r="Q213" s="46">
        <v>29</v>
      </c>
      <c r="R213">
        <v>2</v>
      </c>
    </row>
    <row r="214" spans="1:18" x14ac:dyDescent="0.25">
      <c r="A214">
        <v>213</v>
      </c>
      <c r="B214" t="s">
        <v>369</v>
      </c>
      <c r="C214" t="s">
        <v>359</v>
      </c>
      <c r="D214" s="7">
        <v>42481</v>
      </c>
      <c r="E214" t="s">
        <v>252</v>
      </c>
      <c r="G214" t="str">
        <f t="shared" si="12"/>
        <v>Ref</v>
      </c>
      <c r="H214">
        <v>0.61</v>
      </c>
      <c r="I214">
        <v>0.32</v>
      </c>
      <c r="J214">
        <f t="shared" si="13"/>
        <v>0.28999999999999998</v>
      </c>
      <c r="K214">
        <f t="shared" si="14"/>
        <v>0.92999999999999994</v>
      </c>
      <c r="L214">
        <f t="shared" si="15"/>
        <v>0.16</v>
      </c>
      <c r="M214" t="s">
        <v>360</v>
      </c>
      <c r="N214" t="s">
        <v>361</v>
      </c>
      <c r="O214">
        <v>9</v>
      </c>
      <c r="P214">
        <v>0.16</v>
      </c>
      <c r="Q214" s="46">
        <v>26</v>
      </c>
      <c r="R214">
        <v>2</v>
      </c>
    </row>
    <row r="215" spans="1:18" x14ac:dyDescent="0.25">
      <c r="A215">
        <v>214</v>
      </c>
      <c r="B215" t="s">
        <v>369</v>
      </c>
      <c r="C215" t="s">
        <v>359</v>
      </c>
      <c r="D215" s="7">
        <v>42481</v>
      </c>
      <c r="E215" t="s">
        <v>253</v>
      </c>
      <c r="G215" t="str">
        <f t="shared" si="12"/>
        <v>Ref</v>
      </c>
      <c r="H215">
        <v>20</v>
      </c>
      <c r="I215">
        <v>10.199999999999999</v>
      </c>
      <c r="J215">
        <f t="shared" si="13"/>
        <v>9.8000000000000007</v>
      </c>
      <c r="K215">
        <f t="shared" si="14"/>
        <v>30.2</v>
      </c>
      <c r="L215">
        <f t="shared" si="15"/>
        <v>5.0999999999999996</v>
      </c>
      <c r="M215" t="s">
        <v>360</v>
      </c>
      <c r="N215" t="s">
        <v>361</v>
      </c>
      <c r="O215">
        <v>17</v>
      </c>
      <c r="P215">
        <v>5.0999999999999996</v>
      </c>
      <c r="Q215" s="46">
        <v>25</v>
      </c>
      <c r="R215">
        <v>2</v>
      </c>
    </row>
    <row r="216" spans="1:18" x14ac:dyDescent="0.25">
      <c r="A216">
        <v>215</v>
      </c>
      <c r="B216" t="s">
        <v>369</v>
      </c>
      <c r="C216" t="s">
        <v>359</v>
      </c>
      <c r="D216" s="7">
        <v>42481</v>
      </c>
      <c r="E216" t="s">
        <v>254</v>
      </c>
      <c r="G216" t="str">
        <f t="shared" si="12"/>
        <v>Ref</v>
      </c>
      <c r="H216">
        <v>12</v>
      </c>
      <c r="I216">
        <v>5.6</v>
      </c>
      <c r="J216">
        <f t="shared" si="13"/>
        <v>6.4</v>
      </c>
      <c r="K216">
        <f t="shared" si="14"/>
        <v>17.600000000000001</v>
      </c>
      <c r="L216">
        <f t="shared" si="15"/>
        <v>2.8</v>
      </c>
      <c r="M216" t="s">
        <v>360</v>
      </c>
      <c r="N216" t="s">
        <v>361</v>
      </c>
      <c r="O216">
        <v>15</v>
      </c>
      <c r="P216">
        <v>2.8</v>
      </c>
      <c r="Q216" s="46">
        <v>24</v>
      </c>
      <c r="R216">
        <v>2</v>
      </c>
    </row>
    <row r="217" spans="1:18" x14ac:dyDescent="0.25">
      <c r="A217">
        <v>216</v>
      </c>
      <c r="B217" t="s">
        <v>369</v>
      </c>
      <c r="C217" t="s">
        <v>359</v>
      </c>
      <c r="D217" s="7">
        <v>42481</v>
      </c>
      <c r="E217" t="s">
        <v>255</v>
      </c>
      <c r="G217" t="str">
        <f t="shared" si="12"/>
        <v>Ref</v>
      </c>
      <c r="H217">
        <v>2.2000000000000002</v>
      </c>
      <c r="I217">
        <v>1.58</v>
      </c>
      <c r="J217">
        <f t="shared" si="13"/>
        <v>0.62000000000000011</v>
      </c>
      <c r="K217">
        <f t="shared" si="14"/>
        <v>3.7800000000000002</v>
      </c>
      <c r="L217">
        <f t="shared" si="15"/>
        <v>0.79</v>
      </c>
      <c r="M217" t="s">
        <v>360</v>
      </c>
      <c r="N217" t="s">
        <v>361</v>
      </c>
      <c r="O217">
        <v>8</v>
      </c>
      <c r="P217">
        <v>0.79</v>
      </c>
      <c r="Q217" s="46">
        <v>37</v>
      </c>
      <c r="R217">
        <v>2</v>
      </c>
    </row>
    <row r="218" spans="1:18" x14ac:dyDescent="0.25">
      <c r="A218">
        <v>217</v>
      </c>
      <c r="B218" t="s">
        <v>369</v>
      </c>
      <c r="C218" t="s">
        <v>359</v>
      </c>
      <c r="D218" s="7">
        <v>42481</v>
      </c>
      <c r="E218" t="s">
        <v>256</v>
      </c>
      <c r="G218" t="str">
        <f t="shared" si="12"/>
        <v>Ref</v>
      </c>
      <c r="H218">
        <v>7.7</v>
      </c>
      <c r="I218">
        <v>4.2</v>
      </c>
      <c r="J218">
        <f t="shared" si="13"/>
        <v>3.5</v>
      </c>
      <c r="K218">
        <f t="shared" si="14"/>
        <v>11.9</v>
      </c>
      <c r="L218">
        <f t="shared" si="15"/>
        <v>2.1</v>
      </c>
      <c r="M218" t="s">
        <v>360</v>
      </c>
      <c r="N218" t="s">
        <v>361</v>
      </c>
      <c r="O218">
        <v>14</v>
      </c>
      <c r="P218">
        <v>2.1</v>
      </c>
      <c r="Q218" s="46">
        <v>27</v>
      </c>
      <c r="R218">
        <v>2</v>
      </c>
    </row>
    <row r="219" spans="1:18" x14ac:dyDescent="0.25">
      <c r="A219">
        <v>218</v>
      </c>
      <c r="B219" t="s">
        <v>369</v>
      </c>
      <c r="C219" t="s">
        <v>359</v>
      </c>
      <c r="D219" s="7">
        <v>42481</v>
      </c>
      <c r="E219" t="s">
        <v>257</v>
      </c>
      <c r="G219" t="str">
        <f t="shared" si="12"/>
        <v>Ref</v>
      </c>
      <c r="H219">
        <v>5.8</v>
      </c>
      <c r="I219">
        <v>2.8</v>
      </c>
      <c r="J219">
        <f t="shared" si="13"/>
        <v>3</v>
      </c>
      <c r="K219">
        <f t="shared" si="14"/>
        <v>8.6</v>
      </c>
      <c r="L219">
        <f t="shared" si="15"/>
        <v>1.4</v>
      </c>
      <c r="M219" t="s">
        <v>360</v>
      </c>
      <c r="N219" t="s">
        <v>361</v>
      </c>
      <c r="O219">
        <v>14</v>
      </c>
      <c r="P219">
        <v>1.4</v>
      </c>
      <c r="Q219" s="46">
        <v>24</v>
      </c>
      <c r="R219">
        <v>2</v>
      </c>
    </row>
    <row r="220" spans="1:18" x14ac:dyDescent="0.25">
      <c r="A220">
        <v>219</v>
      </c>
      <c r="B220" t="s">
        <v>369</v>
      </c>
      <c r="C220" t="s">
        <v>359</v>
      </c>
      <c r="D220" s="7">
        <v>42481</v>
      </c>
      <c r="E220" t="s">
        <v>258</v>
      </c>
      <c r="G220" t="str">
        <f t="shared" si="12"/>
        <v>Ref</v>
      </c>
      <c r="H220">
        <v>0.77</v>
      </c>
      <c r="I220">
        <v>0.6</v>
      </c>
      <c r="J220">
        <f t="shared" si="13"/>
        <v>0.17000000000000004</v>
      </c>
      <c r="K220">
        <f t="shared" si="14"/>
        <v>1.37</v>
      </c>
      <c r="L220">
        <f t="shared" si="15"/>
        <v>0.3</v>
      </c>
      <c r="M220" t="s">
        <v>360</v>
      </c>
      <c r="N220" t="s">
        <v>361</v>
      </c>
      <c r="O220">
        <v>7</v>
      </c>
      <c r="P220">
        <v>0.3</v>
      </c>
      <c r="Q220" s="46">
        <v>39</v>
      </c>
      <c r="R220">
        <v>2</v>
      </c>
    </row>
    <row r="221" spans="1:18" x14ac:dyDescent="0.25">
      <c r="A221">
        <v>220</v>
      </c>
      <c r="B221" t="s">
        <v>369</v>
      </c>
      <c r="C221" t="s">
        <v>359</v>
      </c>
      <c r="D221" s="7">
        <v>42481</v>
      </c>
      <c r="E221" t="s">
        <v>259</v>
      </c>
      <c r="G221" t="str">
        <f t="shared" si="12"/>
        <v>Ref</v>
      </c>
      <c r="H221">
        <v>20</v>
      </c>
      <c r="I221">
        <v>10.8</v>
      </c>
      <c r="J221">
        <f t="shared" si="13"/>
        <v>9.1999999999999993</v>
      </c>
      <c r="K221">
        <f t="shared" si="14"/>
        <v>30.8</v>
      </c>
      <c r="L221">
        <f t="shared" si="15"/>
        <v>5.4</v>
      </c>
      <c r="M221" t="s">
        <v>360</v>
      </c>
      <c r="N221" t="s">
        <v>361</v>
      </c>
      <c r="O221">
        <v>21</v>
      </c>
      <c r="P221">
        <v>5.4</v>
      </c>
      <c r="Q221" s="46">
        <v>28</v>
      </c>
      <c r="R221">
        <v>2</v>
      </c>
    </row>
    <row r="222" spans="1:18" x14ac:dyDescent="0.25">
      <c r="A222">
        <v>221</v>
      </c>
      <c r="B222" t="s">
        <v>369</v>
      </c>
      <c r="C222" t="s">
        <v>359</v>
      </c>
      <c r="D222" s="7">
        <v>42481</v>
      </c>
      <c r="E222" t="s">
        <v>260</v>
      </c>
      <c r="G222" t="str">
        <f t="shared" si="12"/>
        <v>Ref</v>
      </c>
      <c r="H222">
        <v>44</v>
      </c>
      <c r="I222">
        <v>22</v>
      </c>
      <c r="J222">
        <f t="shared" si="13"/>
        <v>22</v>
      </c>
      <c r="K222">
        <f t="shared" si="14"/>
        <v>66</v>
      </c>
      <c r="L222">
        <f t="shared" si="15"/>
        <v>11</v>
      </c>
      <c r="M222" t="s">
        <v>360</v>
      </c>
      <c r="N222" t="s">
        <v>361</v>
      </c>
      <c r="O222">
        <v>18</v>
      </c>
      <c r="P222">
        <v>11</v>
      </c>
      <c r="Q222" s="46">
        <v>25</v>
      </c>
      <c r="R222">
        <v>2</v>
      </c>
    </row>
    <row r="223" spans="1:18" x14ac:dyDescent="0.25">
      <c r="A223">
        <v>222</v>
      </c>
      <c r="B223" t="s">
        <v>369</v>
      </c>
      <c r="C223" t="s">
        <v>359</v>
      </c>
      <c r="D223" s="7">
        <v>42481</v>
      </c>
      <c r="E223" t="s">
        <v>261</v>
      </c>
      <c r="G223" t="str">
        <f t="shared" si="12"/>
        <v>Ref</v>
      </c>
      <c r="H223">
        <v>17</v>
      </c>
      <c r="I223">
        <v>9.4</v>
      </c>
      <c r="J223">
        <f t="shared" si="13"/>
        <v>7.6</v>
      </c>
      <c r="K223">
        <f t="shared" si="14"/>
        <v>26.4</v>
      </c>
      <c r="L223">
        <f t="shared" si="15"/>
        <v>4.7</v>
      </c>
      <c r="M223" t="s">
        <v>360</v>
      </c>
      <c r="N223" t="s">
        <v>361</v>
      </c>
      <c r="O223">
        <v>12</v>
      </c>
      <c r="P223">
        <v>4.7</v>
      </c>
      <c r="Q223" s="46">
        <v>27</v>
      </c>
      <c r="R223">
        <v>2</v>
      </c>
    </row>
    <row r="224" spans="1:18" x14ac:dyDescent="0.25">
      <c r="A224">
        <v>223</v>
      </c>
      <c r="B224" t="s">
        <v>369</v>
      </c>
      <c r="C224" t="s">
        <v>359</v>
      </c>
      <c r="D224" s="7">
        <v>42481</v>
      </c>
      <c r="E224" t="s">
        <v>262</v>
      </c>
      <c r="G224" t="str">
        <f t="shared" si="12"/>
        <v>Ref</v>
      </c>
      <c r="H224">
        <v>1</v>
      </c>
      <c r="I224">
        <v>0.57999999999999996</v>
      </c>
      <c r="J224">
        <f t="shared" si="13"/>
        <v>0.42000000000000004</v>
      </c>
      <c r="K224">
        <f t="shared" si="14"/>
        <v>1.58</v>
      </c>
      <c r="L224">
        <f t="shared" si="15"/>
        <v>0.28999999999999998</v>
      </c>
      <c r="M224" t="s">
        <v>360</v>
      </c>
      <c r="N224" t="s">
        <v>361</v>
      </c>
      <c r="O224">
        <v>10</v>
      </c>
      <c r="P224">
        <v>0.28999999999999998</v>
      </c>
      <c r="Q224" s="46">
        <v>29</v>
      </c>
      <c r="R224">
        <v>2</v>
      </c>
    </row>
    <row r="225" spans="1:18" x14ac:dyDescent="0.25">
      <c r="A225">
        <v>224</v>
      </c>
      <c r="B225" t="s">
        <v>369</v>
      </c>
      <c r="C225" t="s">
        <v>359</v>
      </c>
      <c r="D225" s="7">
        <v>42481</v>
      </c>
      <c r="E225" t="s">
        <v>263</v>
      </c>
      <c r="G225" t="str">
        <f t="shared" si="12"/>
        <v>Ref</v>
      </c>
      <c r="H225">
        <v>0.4</v>
      </c>
      <c r="I225">
        <v>0.26</v>
      </c>
      <c r="J225">
        <f t="shared" si="13"/>
        <v>0.14000000000000001</v>
      </c>
      <c r="K225">
        <f t="shared" si="14"/>
        <v>0.66</v>
      </c>
      <c r="L225">
        <f t="shared" si="15"/>
        <v>0.13</v>
      </c>
      <c r="M225" t="s">
        <v>360</v>
      </c>
      <c r="N225" t="s">
        <v>361</v>
      </c>
      <c r="O225">
        <v>9</v>
      </c>
      <c r="P225">
        <v>0.13</v>
      </c>
      <c r="Q225" s="46">
        <v>32</v>
      </c>
      <c r="R225">
        <v>2</v>
      </c>
    </row>
    <row r="226" spans="1:18" x14ac:dyDescent="0.25">
      <c r="A226">
        <v>225</v>
      </c>
      <c r="B226" t="s">
        <v>369</v>
      </c>
      <c r="C226" t="s">
        <v>359</v>
      </c>
      <c r="D226" s="7">
        <v>42481</v>
      </c>
      <c r="E226" t="s">
        <v>67</v>
      </c>
      <c r="G226" t="str">
        <f t="shared" si="12"/>
        <v>Ref</v>
      </c>
      <c r="H226">
        <v>16</v>
      </c>
      <c r="I226">
        <v>12</v>
      </c>
      <c r="J226">
        <f t="shared" si="13"/>
        <v>4</v>
      </c>
      <c r="K226">
        <f t="shared" si="14"/>
        <v>28</v>
      </c>
      <c r="L226">
        <f t="shared" si="15"/>
        <v>6</v>
      </c>
      <c r="M226" t="s">
        <v>360</v>
      </c>
      <c r="N226" t="s">
        <v>361</v>
      </c>
      <c r="O226">
        <v>7</v>
      </c>
      <c r="P226">
        <v>6</v>
      </c>
      <c r="Q226" s="46">
        <v>37</v>
      </c>
      <c r="R226">
        <v>2</v>
      </c>
    </row>
    <row r="227" spans="1:18" x14ac:dyDescent="0.25">
      <c r="A227">
        <v>226</v>
      </c>
      <c r="B227" t="s">
        <v>369</v>
      </c>
      <c r="C227" t="s">
        <v>359</v>
      </c>
      <c r="D227" s="7">
        <v>42481</v>
      </c>
      <c r="E227" t="s">
        <v>68</v>
      </c>
      <c r="G227" t="str">
        <f t="shared" si="12"/>
        <v>Ref</v>
      </c>
      <c r="H227">
        <v>5.3</v>
      </c>
      <c r="I227">
        <v>3.6</v>
      </c>
      <c r="J227">
        <f t="shared" si="13"/>
        <v>1.6999999999999997</v>
      </c>
      <c r="K227">
        <f t="shared" si="14"/>
        <v>8.9</v>
      </c>
      <c r="L227">
        <f t="shared" si="15"/>
        <v>1.8</v>
      </c>
      <c r="M227" t="s">
        <v>360</v>
      </c>
      <c r="N227" t="s">
        <v>361</v>
      </c>
      <c r="O227">
        <v>6</v>
      </c>
      <c r="P227">
        <v>1.8</v>
      </c>
      <c r="Q227" s="46">
        <v>34</v>
      </c>
      <c r="R227">
        <v>2</v>
      </c>
    </row>
    <row r="228" spans="1:18" x14ac:dyDescent="0.25">
      <c r="A228">
        <v>227</v>
      </c>
      <c r="B228" t="s">
        <v>369</v>
      </c>
      <c r="C228" t="s">
        <v>359</v>
      </c>
      <c r="D228" s="7">
        <v>42481</v>
      </c>
      <c r="E228" t="s">
        <v>69</v>
      </c>
      <c r="G228" t="str">
        <f t="shared" si="12"/>
        <v>Ref</v>
      </c>
      <c r="H228">
        <v>210</v>
      </c>
      <c r="I228">
        <v>116</v>
      </c>
      <c r="J228">
        <f t="shared" si="13"/>
        <v>94</v>
      </c>
      <c r="K228">
        <f t="shared" si="14"/>
        <v>326</v>
      </c>
      <c r="L228">
        <f t="shared" si="15"/>
        <v>58</v>
      </c>
      <c r="M228" t="s">
        <v>360</v>
      </c>
      <c r="N228" t="s">
        <v>361</v>
      </c>
      <c r="O228">
        <v>13</v>
      </c>
      <c r="P228">
        <v>58</v>
      </c>
      <c r="Q228" s="46">
        <v>28</v>
      </c>
      <c r="R228">
        <v>2</v>
      </c>
    </row>
    <row r="229" spans="1:18" x14ac:dyDescent="0.25">
      <c r="A229">
        <v>228</v>
      </c>
      <c r="B229" t="s">
        <v>369</v>
      </c>
      <c r="C229" t="s">
        <v>359</v>
      </c>
      <c r="D229" s="7">
        <v>42481</v>
      </c>
      <c r="E229" t="s">
        <v>70</v>
      </c>
      <c r="G229" t="str">
        <f t="shared" si="12"/>
        <v>Ref</v>
      </c>
      <c r="H229">
        <v>100</v>
      </c>
      <c r="I229">
        <v>54</v>
      </c>
      <c r="J229">
        <f t="shared" si="13"/>
        <v>46</v>
      </c>
      <c r="K229">
        <f t="shared" si="14"/>
        <v>154</v>
      </c>
      <c r="L229">
        <f t="shared" si="15"/>
        <v>27</v>
      </c>
      <c r="M229" t="s">
        <v>360</v>
      </c>
      <c r="N229" t="s">
        <v>361</v>
      </c>
      <c r="O229">
        <v>11</v>
      </c>
      <c r="P229">
        <v>27</v>
      </c>
      <c r="Q229" s="46">
        <v>27</v>
      </c>
      <c r="R229">
        <v>2</v>
      </c>
    </row>
    <row r="230" spans="1:18" x14ac:dyDescent="0.25">
      <c r="A230">
        <v>229</v>
      </c>
      <c r="B230" t="s">
        <v>369</v>
      </c>
      <c r="C230" t="s">
        <v>359</v>
      </c>
      <c r="D230" s="7">
        <v>42481</v>
      </c>
      <c r="E230" t="s">
        <v>71</v>
      </c>
      <c r="G230" t="str">
        <f t="shared" si="12"/>
        <v>Ref</v>
      </c>
      <c r="H230">
        <v>1.9</v>
      </c>
      <c r="I230">
        <v>0.92</v>
      </c>
      <c r="J230">
        <f t="shared" si="13"/>
        <v>0.97999999999999987</v>
      </c>
      <c r="K230">
        <f t="shared" si="14"/>
        <v>2.82</v>
      </c>
      <c r="L230">
        <f t="shared" si="15"/>
        <v>0.46</v>
      </c>
      <c r="M230" t="s">
        <v>360</v>
      </c>
      <c r="N230" t="s">
        <v>361</v>
      </c>
      <c r="O230">
        <v>5</v>
      </c>
      <c r="P230">
        <v>0.46</v>
      </c>
      <c r="Q230" s="46">
        <v>25</v>
      </c>
      <c r="R230">
        <v>2</v>
      </c>
    </row>
    <row r="231" spans="1:18" x14ac:dyDescent="0.25">
      <c r="A231">
        <v>230</v>
      </c>
      <c r="B231" t="s">
        <v>369</v>
      </c>
      <c r="C231" t="s">
        <v>359</v>
      </c>
      <c r="D231" s="7">
        <v>42481</v>
      </c>
      <c r="E231" t="s">
        <v>72</v>
      </c>
      <c r="G231" t="str">
        <f t="shared" si="12"/>
        <v>Ref</v>
      </c>
      <c r="H231">
        <v>8.1999999999999993</v>
      </c>
      <c r="I231">
        <v>2</v>
      </c>
      <c r="J231">
        <f t="shared" si="13"/>
        <v>6.1999999999999993</v>
      </c>
      <c r="K231">
        <f t="shared" si="14"/>
        <v>10.199999999999999</v>
      </c>
      <c r="L231">
        <f t="shared" si="15"/>
        <v>1</v>
      </c>
      <c r="M231" t="s">
        <v>360</v>
      </c>
      <c r="N231" t="s">
        <v>361</v>
      </c>
      <c r="O231">
        <v>9</v>
      </c>
      <c r="P231">
        <v>1</v>
      </c>
      <c r="Q231" s="46">
        <v>13</v>
      </c>
      <c r="R231">
        <v>2</v>
      </c>
    </row>
    <row r="232" spans="1:18" x14ac:dyDescent="0.25">
      <c r="A232">
        <v>231</v>
      </c>
      <c r="B232" t="s">
        <v>369</v>
      </c>
      <c r="C232" t="s">
        <v>359</v>
      </c>
      <c r="D232" s="7">
        <v>42481</v>
      </c>
      <c r="E232" t="s">
        <v>73</v>
      </c>
      <c r="G232" t="str">
        <f t="shared" si="12"/>
        <v>Ref</v>
      </c>
      <c r="H232">
        <v>15</v>
      </c>
      <c r="I232">
        <v>7.4</v>
      </c>
      <c r="J232">
        <f t="shared" si="13"/>
        <v>7.6</v>
      </c>
      <c r="K232">
        <f t="shared" si="14"/>
        <v>22.4</v>
      </c>
      <c r="L232">
        <f t="shared" si="15"/>
        <v>3.7</v>
      </c>
      <c r="M232" t="s">
        <v>360</v>
      </c>
      <c r="N232" t="s">
        <v>361</v>
      </c>
      <c r="O232">
        <v>7</v>
      </c>
      <c r="P232">
        <v>3.7</v>
      </c>
      <c r="Q232" s="46">
        <v>25</v>
      </c>
      <c r="R232">
        <v>2</v>
      </c>
    </row>
    <row r="233" spans="1:18" x14ac:dyDescent="0.25">
      <c r="A233">
        <v>232</v>
      </c>
      <c r="B233" t="s">
        <v>369</v>
      </c>
      <c r="C233" t="s">
        <v>359</v>
      </c>
      <c r="D233" s="7">
        <v>42481</v>
      </c>
      <c r="E233" t="s">
        <v>74</v>
      </c>
      <c r="G233" t="str">
        <f t="shared" si="12"/>
        <v>Ref</v>
      </c>
      <c r="H233">
        <v>450</v>
      </c>
      <c r="I233">
        <v>220</v>
      </c>
      <c r="J233">
        <f t="shared" si="13"/>
        <v>230</v>
      </c>
      <c r="K233">
        <f t="shared" si="14"/>
        <v>670</v>
      </c>
      <c r="L233">
        <f t="shared" si="15"/>
        <v>110</v>
      </c>
      <c r="M233" t="s">
        <v>360</v>
      </c>
      <c r="N233" t="s">
        <v>361</v>
      </c>
      <c r="O233">
        <v>14</v>
      </c>
      <c r="P233">
        <v>110</v>
      </c>
      <c r="Q233" s="46">
        <v>25</v>
      </c>
      <c r="R233">
        <v>2</v>
      </c>
    </row>
    <row r="234" spans="1:18" x14ac:dyDescent="0.25">
      <c r="A234">
        <v>233</v>
      </c>
      <c r="B234" t="s">
        <v>369</v>
      </c>
      <c r="C234" t="s">
        <v>359</v>
      </c>
      <c r="D234" s="7">
        <v>42481</v>
      </c>
      <c r="E234" t="s">
        <v>75</v>
      </c>
      <c r="G234" t="str">
        <f t="shared" si="12"/>
        <v>Ref</v>
      </c>
      <c r="H234">
        <v>1700</v>
      </c>
      <c r="I234">
        <v>860</v>
      </c>
      <c r="J234">
        <f t="shared" si="13"/>
        <v>840</v>
      </c>
      <c r="K234">
        <f t="shared" si="14"/>
        <v>2560</v>
      </c>
      <c r="L234">
        <f t="shared" si="15"/>
        <v>430</v>
      </c>
      <c r="M234" t="s">
        <v>360</v>
      </c>
      <c r="N234" t="s">
        <v>361</v>
      </c>
      <c r="O234">
        <v>14</v>
      </c>
      <c r="P234">
        <v>430</v>
      </c>
      <c r="Q234" s="46">
        <v>26</v>
      </c>
      <c r="R234">
        <v>2</v>
      </c>
    </row>
    <row r="235" spans="1:18" x14ac:dyDescent="0.25">
      <c r="A235">
        <v>234</v>
      </c>
      <c r="B235" t="s">
        <v>369</v>
      </c>
      <c r="C235" t="s">
        <v>359</v>
      </c>
      <c r="D235" s="7">
        <v>42481</v>
      </c>
      <c r="E235" t="s">
        <v>76</v>
      </c>
      <c r="G235" t="str">
        <f t="shared" si="12"/>
        <v>Ref</v>
      </c>
      <c r="H235">
        <v>84</v>
      </c>
      <c r="I235">
        <v>48</v>
      </c>
      <c r="J235">
        <f t="shared" si="13"/>
        <v>36</v>
      </c>
      <c r="K235">
        <f t="shared" si="14"/>
        <v>132</v>
      </c>
      <c r="L235">
        <f t="shared" si="15"/>
        <v>24</v>
      </c>
      <c r="M235" t="s">
        <v>360</v>
      </c>
      <c r="N235" t="s">
        <v>361</v>
      </c>
      <c r="O235">
        <v>13</v>
      </c>
      <c r="P235">
        <v>24</v>
      </c>
      <c r="Q235" s="46">
        <v>28</v>
      </c>
      <c r="R235">
        <v>2</v>
      </c>
    </row>
    <row r="236" spans="1:18" x14ac:dyDescent="0.25">
      <c r="A236">
        <v>235</v>
      </c>
      <c r="B236" t="s">
        <v>369</v>
      </c>
      <c r="C236" t="s">
        <v>359</v>
      </c>
      <c r="D236" s="7">
        <v>42481</v>
      </c>
      <c r="E236" t="s">
        <v>77</v>
      </c>
      <c r="G236" t="str">
        <f t="shared" si="12"/>
        <v>Ref</v>
      </c>
      <c r="H236">
        <v>35</v>
      </c>
      <c r="I236">
        <v>24</v>
      </c>
      <c r="J236">
        <f t="shared" si="13"/>
        <v>11</v>
      </c>
      <c r="K236">
        <f t="shared" si="14"/>
        <v>59</v>
      </c>
      <c r="L236">
        <f t="shared" si="15"/>
        <v>12</v>
      </c>
      <c r="M236" t="s">
        <v>360</v>
      </c>
      <c r="N236" t="s">
        <v>361</v>
      </c>
      <c r="O236">
        <v>13</v>
      </c>
      <c r="P236">
        <v>12</v>
      </c>
      <c r="Q236" s="46">
        <v>35</v>
      </c>
      <c r="R236">
        <v>2</v>
      </c>
    </row>
    <row r="237" spans="1:18" x14ac:dyDescent="0.25">
      <c r="A237">
        <v>236</v>
      </c>
      <c r="B237" t="s">
        <v>369</v>
      </c>
      <c r="C237" t="s">
        <v>359</v>
      </c>
      <c r="D237" s="7">
        <v>42481</v>
      </c>
      <c r="E237" t="s">
        <v>78</v>
      </c>
      <c r="G237" t="str">
        <f t="shared" si="12"/>
        <v>Ref</v>
      </c>
      <c r="H237">
        <v>350</v>
      </c>
      <c r="I237">
        <v>116</v>
      </c>
      <c r="J237">
        <f t="shared" si="13"/>
        <v>234</v>
      </c>
      <c r="K237">
        <f t="shared" si="14"/>
        <v>466</v>
      </c>
      <c r="L237">
        <f t="shared" si="15"/>
        <v>58</v>
      </c>
      <c r="M237" t="s">
        <v>360</v>
      </c>
      <c r="N237" t="s">
        <v>361</v>
      </c>
      <c r="O237">
        <v>14</v>
      </c>
      <c r="P237">
        <v>58</v>
      </c>
      <c r="Q237" s="46">
        <v>17</v>
      </c>
      <c r="R237">
        <v>2</v>
      </c>
    </row>
    <row r="238" spans="1:18" x14ac:dyDescent="0.25">
      <c r="A238">
        <v>237</v>
      </c>
      <c r="B238" t="s">
        <v>369</v>
      </c>
      <c r="C238" t="s">
        <v>359</v>
      </c>
      <c r="D238" s="7">
        <v>42481</v>
      </c>
      <c r="E238" t="s">
        <v>79</v>
      </c>
      <c r="G238" t="str">
        <f t="shared" si="12"/>
        <v>Ref</v>
      </c>
      <c r="H238">
        <v>38</v>
      </c>
      <c r="I238">
        <v>17.2</v>
      </c>
      <c r="J238">
        <f t="shared" si="13"/>
        <v>20.8</v>
      </c>
      <c r="K238">
        <f t="shared" si="14"/>
        <v>55.2</v>
      </c>
      <c r="L238">
        <f t="shared" si="15"/>
        <v>8.6</v>
      </c>
      <c r="M238" t="s">
        <v>360</v>
      </c>
      <c r="N238" t="s">
        <v>361</v>
      </c>
      <c r="O238">
        <v>12</v>
      </c>
      <c r="P238">
        <v>8.6</v>
      </c>
      <c r="Q238" s="46">
        <v>23</v>
      </c>
      <c r="R238">
        <v>2</v>
      </c>
    </row>
    <row r="239" spans="1:18" x14ac:dyDescent="0.25">
      <c r="A239">
        <v>238</v>
      </c>
      <c r="B239" t="s">
        <v>369</v>
      </c>
      <c r="C239" t="s">
        <v>359</v>
      </c>
      <c r="D239" s="7">
        <v>42481</v>
      </c>
      <c r="E239" t="s">
        <v>80</v>
      </c>
      <c r="G239" t="str">
        <f t="shared" si="12"/>
        <v>Ref</v>
      </c>
      <c r="H239">
        <v>4.0999999999999996</v>
      </c>
      <c r="I239">
        <v>3.2</v>
      </c>
      <c r="J239">
        <f t="shared" si="13"/>
        <v>0.89999999999999947</v>
      </c>
      <c r="K239">
        <f t="shared" si="14"/>
        <v>7.3</v>
      </c>
      <c r="L239">
        <f t="shared" si="15"/>
        <v>1.6</v>
      </c>
      <c r="M239" t="s">
        <v>360</v>
      </c>
      <c r="N239" t="s">
        <v>361</v>
      </c>
      <c r="O239">
        <v>6</v>
      </c>
      <c r="P239">
        <v>1.6</v>
      </c>
      <c r="Q239" s="46">
        <v>39</v>
      </c>
      <c r="R239">
        <v>2</v>
      </c>
    </row>
    <row r="240" spans="1:18" x14ac:dyDescent="0.25">
      <c r="A240">
        <v>239</v>
      </c>
      <c r="B240" t="s">
        <v>369</v>
      </c>
      <c r="C240" t="s">
        <v>359</v>
      </c>
      <c r="D240" s="7">
        <v>42481</v>
      </c>
      <c r="E240" t="s">
        <v>81</v>
      </c>
      <c r="G240" t="str">
        <f t="shared" si="12"/>
        <v>Ref</v>
      </c>
      <c r="H240">
        <v>37</v>
      </c>
      <c r="I240">
        <v>19</v>
      </c>
      <c r="J240">
        <f t="shared" si="13"/>
        <v>18</v>
      </c>
      <c r="K240">
        <f t="shared" si="14"/>
        <v>56</v>
      </c>
      <c r="L240">
        <f t="shared" si="15"/>
        <v>9.5</v>
      </c>
      <c r="M240" t="s">
        <v>360</v>
      </c>
      <c r="N240" t="s">
        <v>361</v>
      </c>
      <c r="O240">
        <v>11</v>
      </c>
      <c r="P240">
        <v>9.5</v>
      </c>
      <c r="Q240" s="46">
        <v>26</v>
      </c>
      <c r="R240">
        <v>2</v>
      </c>
    </row>
    <row r="241" spans="1:18" x14ac:dyDescent="0.25">
      <c r="A241">
        <v>240</v>
      </c>
      <c r="B241" t="s">
        <v>369</v>
      </c>
      <c r="C241" t="s">
        <v>359</v>
      </c>
      <c r="D241" s="7">
        <v>42481</v>
      </c>
      <c r="E241" t="s">
        <v>82</v>
      </c>
      <c r="G241" t="str">
        <f t="shared" si="12"/>
        <v>Ref</v>
      </c>
      <c r="H241">
        <v>770</v>
      </c>
      <c r="I241">
        <v>220</v>
      </c>
      <c r="J241">
        <f t="shared" si="13"/>
        <v>550</v>
      </c>
      <c r="K241">
        <f t="shared" si="14"/>
        <v>990</v>
      </c>
      <c r="L241">
        <f t="shared" si="15"/>
        <v>110</v>
      </c>
      <c r="M241" t="s">
        <v>360</v>
      </c>
      <c r="N241" t="s">
        <v>361</v>
      </c>
      <c r="O241">
        <v>8</v>
      </c>
      <c r="P241">
        <v>110</v>
      </c>
      <c r="Q241" s="46">
        <v>14</v>
      </c>
      <c r="R241">
        <v>2</v>
      </c>
    </row>
    <row r="242" spans="1:18" x14ac:dyDescent="0.25">
      <c r="A242">
        <v>241</v>
      </c>
      <c r="B242" t="s">
        <v>369</v>
      </c>
      <c r="C242" t="s">
        <v>359</v>
      </c>
      <c r="D242" s="7">
        <v>42481</v>
      </c>
      <c r="E242" t="s">
        <v>53</v>
      </c>
      <c r="G242" t="str">
        <f t="shared" si="12"/>
        <v>Ref</v>
      </c>
      <c r="H242">
        <v>0.3</v>
      </c>
      <c r="I242">
        <v>0.22</v>
      </c>
      <c r="J242">
        <f t="shared" si="13"/>
        <v>7.9999999999999988E-2</v>
      </c>
      <c r="K242">
        <f t="shared" si="14"/>
        <v>0.52</v>
      </c>
      <c r="L242">
        <f t="shared" si="15"/>
        <v>0.11</v>
      </c>
      <c r="M242" t="s">
        <v>360</v>
      </c>
      <c r="N242" t="s">
        <v>361</v>
      </c>
      <c r="O242">
        <v>7</v>
      </c>
      <c r="P242">
        <v>0.11</v>
      </c>
      <c r="Q242" s="46">
        <v>38</v>
      </c>
      <c r="R242">
        <v>2</v>
      </c>
    </row>
    <row r="243" spans="1:18" x14ac:dyDescent="0.25">
      <c r="A243">
        <v>242</v>
      </c>
      <c r="B243" t="s">
        <v>369</v>
      </c>
      <c r="C243" t="s">
        <v>359</v>
      </c>
      <c r="D243" s="7">
        <v>42481</v>
      </c>
      <c r="E243" t="s">
        <v>54</v>
      </c>
      <c r="G243" t="str">
        <f t="shared" si="12"/>
        <v>Ref</v>
      </c>
      <c r="H243">
        <v>0.12</v>
      </c>
      <c r="I243">
        <v>6.8000000000000005E-2</v>
      </c>
      <c r="J243">
        <f t="shared" si="13"/>
        <v>5.1999999999999991E-2</v>
      </c>
      <c r="K243">
        <f t="shared" si="14"/>
        <v>0.188</v>
      </c>
      <c r="L243">
        <f t="shared" si="15"/>
        <v>3.4000000000000002E-2</v>
      </c>
      <c r="M243" t="s">
        <v>360</v>
      </c>
      <c r="N243" t="s">
        <v>361</v>
      </c>
      <c r="O243">
        <v>9</v>
      </c>
      <c r="P243">
        <v>3.4000000000000002E-2</v>
      </c>
      <c r="Q243" s="46">
        <v>28</v>
      </c>
      <c r="R243">
        <v>2</v>
      </c>
    </row>
    <row r="244" spans="1:18" x14ac:dyDescent="0.25">
      <c r="A244">
        <v>243</v>
      </c>
      <c r="B244" t="s">
        <v>369</v>
      </c>
      <c r="C244" t="s">
        <v>359</v>
      </c>
      <c r="D244" s="7">
        <v>42481</v>
      </c>
      <c r="E244" t="s">
        <v>55</v>
      </c>
      <c r="G244" t="str">
        <f t="shared" si="12"/>
        <v>Ref</v>
      </c>
      <c r="H244">
        <v>0.35</v>
      </c>
      <c r="I244">
        <v>0.16600000000000001</v>
      </c>
      <c r="J244">
        <f t="shared" si="13"/>
        <v>0.18399999999999997</v>
      </c>
      <c r="K244">
        <f t="shared" si="14"/>
        <v>0.51600000000000001</v>
      </c>
      <c r="L244">
        <f t="shared" si="15"/>
        <v>8.3000000000000004E-2</v>
      </c>
      <c r="M244" t="s">
        <v>360</v>
      </c>
      <c r="N244" t="s">
        <v>361</v>
      </c>
      <c r="O244">
        <v>9</v>
      </c>
      <c r="P244">
        <v>8.3000000000000004E-2</v>
      </c>
      <c r="Q244" s="46">
        <v>24</v>
      </c>
      <c r="R244">
        <v>2</v>
      </c>
    </row>
    <row r="245" spans="1:18" x14ac:dyDescent="0.25">
      <c r="A245">
        <v>244</v>
      </c>
      <c r="B245" t="s">
        <v>369</v>
      </c>
      <c r="C245" t="s">
        <v>359</v>
      </c>
      <c r="D245" s="7">
        <v>42481</v>
      </c>
      <c r="E245" t="s">
        <v>56</v>
      </c>
      <c r="G245" t="str">
        <f t="shared" si="12"/>
        <v>Ref</v>
      </c>
      <c r="H245">
        <v>1.1000000000000001</v>
      </c>
      <c r="I245">
        <v>0.36</v>
      </c>
      <c r="J245">
        <f t="shared" si="13"/>
        <v>0.7400000000000001</v>
      </c>
      <c r="K245">
        <f t="shared" si="14"/>
        <v>1.46</v>
      </c>
      <c r="L245">
        <f t="shared" si="15"/>
        <v>0.18</v>
      </c>
      <c r="M245" t="s">
        <v>360</v>
      </c>
      <c r="N245" t="s">
        <v>361</v>
      </c>
      <c r="O245">
        <v>8</v>
      </c>
      <c r="P245">
        <v>0.18</v>
      </c>
      <c r="Q245" s="46">
        <v>17</v>
      </c>
      <c r="R245">
        <v>2</v>
      </c>
    </row>
    <row r="246" spans="1:18" x14ac:dyDescent="0.25">
      <c r="A246">
        <v>245</v>
      </c>
      <c r="B246" t="s">
        <v>369</v>
      </c>
      <c r="C246" t="s">
        <v>359</v>
      </c>
      <c r="D246" s="7">
        <v>42481</v>
      </c>
      <c r="E246" t="s">
        <v>57</v>
      </c>
      <c r="G246" t="str">
        <f t="shared" si="12"/>
        <v>Ref</v>
      </c>
      <c r="H246">
        <v>0.43</v>
      </c>
      <c r="I246">
        <v>0.13800000000000001</v>
      </c>
      <c r="J246">
        <f t="shared" si="13"/>
        <v>0.29199999999999998</v>
      </c>
      <c r="K246">
        <f t="shared" si="14"/>
        <v>0.56800000000000006</v>
      </c>
      <c r="L246">
        <f t="shared" si="15"/>
        <v>6.9000000000000006E-2</v>
      </c>
      <c r="M246" t="s">
        <v>360</v>
      </c>
      <c r="N246" t="s">
        <v>361</v>
      </c>
      <c r="O246">
        <v>7</v>
      </c>
      <c r="P246">
        <v>6.9000000000000006E-2</v>
      </c>
      <c r="Q246" s="46">
        <v>16</v>
      </c>
      <c r="R246">
        <v>2</v>
      </c>
    </row>
    <row r="247" spans="1:18" x14ac:dyDescent="0.25">
      <c r="A247">
        <v>246</v>
      </c>
      <c r="B247" t="s">
        <v>369</v>
      </c>
      <c r="C247" t="s">
        <v>359</v>
      </c>
      <c r="D247" s="7">
        <v>42481</v>
      </c>
      <c r="E247" t="s">
        <v>58</v>
      </c>
      <c r="G247" t="str">
        <f t="shared" si="12"/>
        <v>Ref</v>
      </c>
      <c r="H247">
        <v>2.5000000000000001E-2</v>
      </c>
      <c r="I247">
        <v>3.5999999999999999E-3</v>
      </c>
      <c r="J247">
        <f t="shared" si="13"/>
        <v>2.1400000000000002E-2</v>
      </c>
      <c r="K247">
        <f t="shared" si="14"/>
        <v>2.86E-2</v>
      </c>
      <c r="L247">
        <f t="shared" si="15"/>
        <v>1.8E-3</v>
      </c>
      <c r="M247" t="s">
        <v>360</v>
      </c>
      <c r="N247" t="s">
        <v>361</v>
      </c>
      <c r="O247">
        <v>6</v>
      </c>
      <c r="P247">
        <v>1.8E-3</v>
      </c>
      <c r="Q247" s="46">
        <v>7</v>
      </c>
      <c r="R247">
        <v>2</v>
      </c>
    </row>
    <row r="248" spans="1:18" x14ac:dyDescent="0.25">
      <c r="A248">
        <v>247</v>
      </c>
      <c r="B248" t="s">
        <v>369</v>
      </c>
      <c r="C248" t="s">
        <v>359</v>
      </c>
      <c r="D248" s="7">
        <v>42481</v>
      </c>
      <c r="E248" t="s">
        <v>59</v>
      </c>
      <c r="G248" t="str">
        <f t="shared" si="12"/>
        <v>Ref</v>
      </c>
      <c r="H248">
        <v>0.15</v>
      </c>
      <c r="I248" s="1">
        <v>4.8000000000000001E-2</v>
      </c>
      <c r="J248">
        <f t="shared" si="13"/>
        <v>0.10199999999999999</v>
      </c>
      <c r="K248">
        <f t="shared" si="14"/>
        <v>0.19800000000000001</v>
      </c>
      <c r="L248">
        <f t="shared" si="15"/>
        <v>2.4E-2</v>
      </c>
      <c r="M248" t="s">
        <v>360</v>
      </c>
      <c r="N248" t="s">
        <v>361</v>
      </c>
      <c r="O248">
        <v>6</v>
      </c>
      <c r="P248">
        <v>2.4E-2</v>
      </c>
      <c r="Q248" s="46">
        <v>16</v>
      </c>
      <c r="R248">
        <v>2</v>
      </c>
    </row>
    <row r="249" spans="1:18" x14ac:dyDescent="0.25">
      <c r="A249">
        <v>248</v>
      </c>
      <c r="B249" t="s">
        <v>369</v>
      </c>
      <c r="C249" t="s">
        <v>359</v>
      </c>
      <c r="D249" s="7">
        <v>42481</v>
      </c>
      <c r="E249" t="s">
        <v>60</v>
      </c>
      <c r="G249" t="str">
        <f t="shared" si="12"/>
        <v>Ref</v>
      </c>
      <c r="H249">
        <v>0.24</v>
      </c>
      <c r="I249">
        <v>0.13800000000000001</v>
      </c>
      <c r="J249">
        <f t="shared" si="13"/>
        <v>0.10199999999999998</v>
      </c>
      <c r="K249">
        <f t="shared" si="14"/>
        <v>0.378</v>
      </c>
      <c r="L249">
        <f t="shared" si="15"/>
        <v>6.9000000000000006E-2</v>
      </c>
      <c r="M249" t="s">
        <v>360</v>
      </c>
      <c r="N249" t="s">
        <v>361</v>
      </c>
      <c r="O249">
        <v>6</v>
      </c>
      <c r="P249">
        <v>6.9000000000000006E-2</v>
      </c>
      <c r="Q249" s="46">
        <v>29</v>
      </c>
      <c r="R249">
        <v>2</v>
      </c>
    </row>
    <row r="250" spans="1:18" x14ac:dyDescent="0.25">
      <c r="A250">
        <v>249</v>
      </c>
      <c r="B250" t="s">
        <v>369</v>
      </c>
      <c r="C250" t="s">
        <v>359</v>
      </c>
      <c r="D250" s="7">
        <v>42481</v>
      </c>
      <c r="E250" t="s">
        <v>61</v>
      </c>
      <c r="G250" t="str">
        <f t="shared" si="12"/>
        <v>Ref</v>
      </c>
      <c r="H250">
        <v>1.4E-2</v>
      </c>
      <c r="I250">
        <v>7.1999999999999998E-3</v>
      </c>
      <c r="J250">
        <f t="shared" si="13"/>
        <v>6.8000000000000005E-3</v>
      </c>
      <c r="K250">
        <f t="shared" si="14"/>
        <v>2.12E-2</v>
      </c>
      <c r="L250">
        <f t="shared" si="15"/>
        <v>3.5999999999999999E-3</v>
      </c>
      <c r="M250" t="s">
        <v>360</v>
      </c>
      <c r="N250" t="s">
        <v>361</v>
      </c>
      <c r="O250">
        <v>8</v>
      </c>
      <c r="P250">
        <v>3.5999999999999999E-3</v>
      </c>
      <c r="Q250" s="46">
        <v>26</v>
      </c>
      <c r="R250">
        <v>2</v>
      </c>
    </row>
    <row r="251" spans="1:18" x14ac:dyDescent="0.25">
      <c r="A251">
        <v>250</v>
      </c>
      <c r="B251" t="s">
        <v>369</v>
      </c>
      <c r="C251" t="s">
        <v>359</v>
      </c>
      <c r="D251" s="7">
        <v>42481</v>
      </c>
      <c r="E251" t="s">
        <v>62</v>
      </c>
      <c r="G251" t="str">
        <f t="shared" si="12"/>
        <v>Ref</v>
      </c>
      <c r="H251">
        <v>8.4000000000000005E-2</v>
      </c>
      <c r="I251">
        <v>0.01</v>
      </c>
      <c r="J251">
        <f t="shared" si="13"/>
        <v>7.400000000000001E-2</v>
      </c>
      <c r="K251">
        <f t="shared" si="14"/>
        <v>9.4E-2</v>
      </c>
      <c r="L251">
        <f t="shared" si="15"/>
        <v>5.0000000000000001E-3</v>
      </c>
      <c r="M251" t="s">
        <v>360</v>
      </c>
      <c r="N251" t="s">
        <v>361</v>
      </c>
      <c r="O251">
        <v>9</v>
      </c>
      <c r="P251">
        <v>5.0000000000000001E-3</v>
      </c>
      <c r="Q251" s="46">
        <v>6</v>
      </c>
      <c r="R251">
        <v>2</v>
      </c>
    </row>
    <row r="252" spans="1:18" x14ac:dyDescent="0.25">
      <c r="A252">
        <v>251</v>
      </c>
      <c r="B252" t="s">
        <v>369</v>
      </c>
      <c r="C252" t="s">
        <v>359</v>
      </c>
      <c r="D252" s="7">
        <v>42481</v>
      </c>
      <c r="E252" t="s">
        <v>63</v>
      </c>
      <c r="G252" t="str">
        <f t="shared" si="12"/>
        <v>Ref</v>
      </c>
      <c r="H252">
        <v>2.5999999999999999E-2</v>
      </c>
      <c r="I252">
        <v>1.12E-2</v>
      </c>
      <c r="J252">
        <f t="shared" si="13"/>
        <v>1.4799999999999999E-2</v>
      </c>
      <c r="K252">
        <f t="shared" si="14"/>
        <v>3.7199999999999997E-2</v>
      </c>
      <c r="L252">
        <f t="shared" si="15"/>
        <v>5.5999999999999999E-3</v>
      </c>
      <c r="M252" t="s">
        <v>360</v>
      </c>
      <c r="N252" t="s">
        <v>361</v>
      </c>
      <c r="O252">
        <v>9</v>
      </c>
      <c r="P252">
        <v>5.5999999999999999E-3</v>
      </c>
      <c r="Q252" s="46">
        <v>22</v>
      </c>
      <c r="R252">
        <v>2</v>
      </c>
    </row>
    <row r="253" spans="1:18" x14ac:dyDescent="0.25">
      <c r="A253">
        <v>252</v>
      </c>
      <c r="B253" t="s">
        <v>369</v>
      </c>
      <c r="C253" t="s">
        <v>359</v>
      </c>
      <c r="D253" s="7">
        <v>42481</v>
      </c>
      <c r="E253" t="s">
        <v>64</v>
      </c>
      <c r="G253" t="str">
        <f t="shared" si="12"/>
        <v>Ref</v>
      </c>
      <c r="H253">
        <v>0.04</v>
      </c>
      <c r="I253">
        <v>1.2800000000000001E-2</v>
      </c>
      <c r="J253">
        <f t="shared" si="13"/>
        <v>2.7200000000000002E-2</v>
      </c>
      <c r="K253">
        <f t="shared" si="14"/>
        <v>5.28E-2</v>
      </c>
      <c r="L253">
        <f t="shared" si="15"/>
        <v>6.4000000000000003E-3</v>
      </c>
      <c r="M253" t="s">
        <v>360</v>
      </c>
      <c r="N253" t="s">
        <v>361</v>
      </c>
      <c r="O253">
        <v>8</v>
      </c>
      <c r="P253">
        <v>6.4000000000000003E-3</v>
      </c>
      <c r="Q253" s="46">
        <v>16</v>
      </c>
      <c r="R253">
        <v>2</v>
      </c>
    </row>
    <row r="254" spans="1:18" x14ac:dyDescent="0.25">
      <c r="A254">
        <v>253</v>
      </c>
      <c r="B254" t="s">
        <v>369</v>
      </c>
      <c r="C254" t="s">
        <v>359</v>
      </c>
      <c r="D254" s="7">
        <v>42481</v>
      </c>
      <c r="E254" t="s">
        <v>65</v>
      </c>
      <c r="G254" t="str">
        <f t="shared" si="12"/>
        <v>Ref</v>
      </c>
      <c r="H254">
        <v>2.7000000000000001E-3</v>
      </c>
      <c r="I254">
        <v>1.3799999999999999E-3</v>
      </c>
      <c r="J254">
        <f t="shared" si="13"/>
        <v>1.3200000000000002E-3</v>
      </c>
      <c r="K254">
        <f t="shared" si="14"/>
        <v>4.0800000000000003E-3</v>
      </c>
      <c r="L254">
        <f t="shared" si="15"/>
        <v>6.8999999999999997E-4</v>
      </c>
      <c r="M254" t="s">
        <v>360</v>
      </c>
      <c r="N254" t="s">
        <v>361</v>
      </c>
      <c r="O254">
        <v>5</v>
      </c>
      <c r="P254">
        <v>6.8999999999999997E-4</v>
      </c>
      <c r="Q254" s="46">
        <v>26</v>
      </c>
      <c r="R254">
        <v>2</v>
      </c>
    </row>
    <row r="255" spans="1:18" x14ac:dyDescent="0.25">
      <c r="A255">
        <v>254</v>
      </c>
      <c r="B255" t="s">
        <v>369</v>
      </c>
      <c r="C255" t="s">
        <v>359</v>
      </c>
      <c r="D255" s="7">
        <v>42481</v>
      </c>
      <c r="E255" t="s">
        <v>66</v>
      </c>
      <c r="G255" t="str">
        <f t="shared" si="12"/>
        <v>Ref</v>
      </c>
      <c r="H255">
        <v>0.11</v>
      </c>
      <c r="I255">
        <v>4.8000000000000001E-2</v>
      </c>
      <c r="J255">
        <f t="shared" si="13"/>
        <v>6.2E-2</v>
      </c>
      <c r="K255">
        <f t="shared" si="14"/>
        <v>0.158</v>
      </c>
      <c r="L255">
        <f t="shared" si="15"/>
        <v>2.4E-2</v>
      </c>
      <c r="M255" t="s">
        <v>360</v>
      </c>
      <c r="N255" t="s">
        <v>361</v>
      </c>
      <c r="O255">
        <v>8</v>
      </c>
      <c r="P255">
        <v>2.4E-2</v>
      </c>
      <c r="Q255" s="46">
        <v>22</v>
      </c>
      <c r="R255">
        <v>2</v>
      </c>
    </row>
    <row r="256" spans="1:18" x14ac:dyDescent="0.25">
      <c r="A256">
        <v>255</v>
      </c>
      <c r="B256" t="s">
        <v>369</v>
      </c>
      <c r="C256" t="s">
        <v>359</v>
      </c>
      <c r="D256" s="7">
        <v>42481</v>
      </c>
      <c r="E256" t="s">
        <v>404</v>
      </c>
      <c r="G256" t="str">
        <f t="shared" si="12"/>
        <v>Inf</v>
      </c>
      <c r="H256">
        <v>8.7999999999999995E-2</v>
      </c>
      <c r="I256">
        <v>3.5999999999999997E-2</v>
      </c>
      <c r="J256">
        <f t="shared" si="13"/>
        <v>5.1999999999999998E-2</v>
      </c>
      <c r="K256">
        <f t="shared" si="14"/>
        <v>0.124</v>
      </c>
      <c r="L256">
        <f t="shared" si="15"/>
        <v>1.7999999999999999E-2</v>
      </c>
      <c r="M256" t="s">
        <v>360</v>
      </c>
      <c r="N256" t="s">
        <v>361</v>
      </c>
      <c r="O256">
        <v>3</v>
      </c>
      <c r="P256">
        <v>1.7999999999999999E-2</v>
      </c>
      <c r="Q256" s="46">
        <v>21</v>
      </c>
      <c r="R256">
        <v>2</v>
      </c>
    </row>
    <row r="257" spans="1:18" x14ac:dyDescent="0.25">
      <c r="A257">
        <v>256</v>
      </c>
      <c r="B257" t="s">
        <v>369</v>
      </c>
      <c r="C257" t="s">
        <v>359</v>
      </c>
      <c r="D257" s="7">
        <v>42481</v>
      </c>
      <c r="E257" t="s">
        <v>405</v>
      </c>
      <c r="G257" t="str">
        <f t="shared" si="12"/>
        <v>Inf</v>
      </c>
      <c r="H257">
        <v>5.5999999999999999E-3</v>
      </c>
      <c r="I257">
        <v>2.5999999999999998E-4</v>
      </c>
      <c r="J257">
        <f t="shared" si="13"/>
        <v>5.3400000000000001E-3</v>
      </c>
      <c r="K257">
        <f t="shared" si="14"/>
        <v>5.8599999999999998E-3</v>
      </c>
      <c r="L257">
        <f t="shared" si="15"/>
        <v>1.2999999999999999E-4</v>
      </c>
      <c r="M257" t="s">
        <v>360</v>
      </c>
      <c r="N257" t="s">
        <v>361</v>
      </c>
      <c r="O257">
        <v>3</v>
      </c>
      <c r="P257">
        <v>1.2999999999999999E-4</v>
      </c>
      <c r="Q257" s="46">
        <v>2</v>
      </c>
      <c r="R257">
        <v>2</v>
      </c>
    </row>
    <row r="258" spans="1:18" x14ac:dyDescent="0.25">
      <c r="A258">
        <v>257</v>
      </c>
      <c r="B258" t="s">
        <v>369</v>
      </c>
      <c r="C258" t="s">
        <v>359</v>
      </c>
      <c r="D258" s="7">
        <v>42481</v>
      </c>
      <c r="E258" t="s">
        <v>306</v>
      </c>
      <c r="G258" t="str">
        <f t="shared" si="12"/>
        <v>Inf</v>
      </c>
      <c r="H258">
        <v>0.35</v>
      </c>
      <c r="I258">
        <v>6.8000000000000005E-2</v>
      </c>
      <c r="J258">
        <f t="shared" si="13"/>
        <v>0.28199999999999997</v>
      </c>
      <c r="K258">
        <f t="shared" si="14"/>
        <v>0.41799999999999998</v>
      </c>
      <c r="L258">
        <f t="shared" si="15"/>
        <v>3.4000000000000002E-2</v>
      </c>
      <c r="M258" t="s">
        <v>360</v>
      </c>
      <c r="N258" t="s">
        <v>361</v>
      </c>
      <c r="O258">
        <v>4</v>
      </c>
      <c r="P258">
        <v>3.4000000000000002E-2</v>
      </c>
      <c r="Q258" s="46">
        <v>10</v>
      </c>
      <c r="R258">
        <v>2</v>
      </c>
    </row>
    <row r="259" spans="1:18" x14ac:dyDescent="0.25">
      <c r="A259">
        <v>258</v>
      </c>
      <c r="B259" t="s">
        <v>369</v>
      </c>
      <c r="C259" t="s">
        <v>359</v>
      </c>
      <c r="D259" s="7">
        <v>42481</v>
      </c>
      <c r="E259" t="s">
        <v>307</v>
      </c>
      <c r="G259" t="str">
        <f t="shared" ref="G259:G319" si="16">IF(Q259&gt;40,"NA",IF(O259&gt;=5,"Ref","Inf"))</f>
        <v>Inf</v>
      </c>
      <c r="H259">
        <v>0.28000000000000003</v>
      </c>
      <c r="I259">
        <v>0.104</v>
      </c>
      <c r="J259">
        <f t="shared" ref="J259:J319" si="17">H259-I259</f>
        <v>0.17600000000000005</v>
      </c>
      <c r="K259">
        <f t="shared" ref="K259:K319" si="18">H259+I259</f>
        <v>0.38400000000000001</v>
      </c>
      <c r="L259">
        <f t="shared" ref="L259:L319" si="19">I259/R259</f>
        <v>5.1999999999999998E-2</v>
      </c>
      <c r="M259" t="s">
        <v>360</v>
      </c>
      <c r="N259" t="s">
        <v>361</v>
      </c>
      <c r="O259">
        <v>3</v>
      </c>
      <c r="P259">
        <v>5.1999999999999998E-2</v>
      </c>
      <c r="Q259" s="46">
        <v>18</v>
      </c>
      <c r="R259">
        <v>2</v>
      </c>
    </row>
    <row r="260" spans="1:18" x14ac:dyDescent="0.25">
      <c r="A260">
        <v>259</v>
      </c>
      <c r="B260" t="s">
        <v>369</v>
      </c>
      <c r="C260" t="s">
        <v>359</v>
      </c>
      <c r="D260" s="7">
        <v>42481</v>
      </c>
      <c r="E260" t="s">
        <v>308</v>
      </c>
      <c r="G260" t="str">
        <f t="shared" si="16"/>
        <v>Inf</v>
      </c>
      <c r="H260">
        <v>0.15</v>
      </c>
      <c r="I260">
        <v>2.8000000000000001E-2</v>
      </c>
      <c r="J260">
        <f t="shared" si="17"/>
        <v>0.122</v>
      </c>
      <c r="K260">
        <f t="shared" si="18"/>
        <v>0.17799999999999999</v>
      </c>
      <c r="L260">
        <f t="shared" si="19"/>
        <v>1.4E-2</v>
      </c>
      <c r="M260" t="s">
        <v>360</v>
      </c>
      <c r="N260" t="s">
        <v>361</v>
      </c>
      <c r="O260">
        <v>3</v>
      </c>
      <c r="P260">
        <v>1.4E-2</v>
      </c>
      <c r="Q260" s="46">
        <v>9</v>
      </c>
      <c r="R260">
        <v>2</v>
      </c>
    </row>
    <row r="261" spans="1:18" x14ac:dyDescent="0.25">
      <c r="A261">
        <v>260</v>
      </c>
      <c r="B261" t="s">
        <v>369</v>
      </c>
      <c r="C261" t="s">
        <v>359</v>
      </c>
      <c r="D261" s="7">
        <v>42481</v>
      </c>
      <c r="E261" t="s">
        <v>309</v>
      </c>
      <c r="G261" t="str">
        <f t="shared" si="16"/>
        <v>Inf</v>
      </c>
      <c r="H261">
        <v>4000</v>
      </c>
      <c r="I261">
        <v>48</v>
      </c>
      <c r="J261">
        <f t="shared" si="17"/>
        <v>3952</v>
      </c>
      <c r="K261">
        <f t="shared" si="18"/>
        <v>4048</v>
      </c>
      <c r="L261">
        <f t="shared" si="19"/>
        <v>24</v>
      </c>
      <c r="M261" t="s">
        <v>360</v>
      </c>
      <c r="N261" t="s">
        <v>361</v>
      </c>
      <c r="O261">
        <v>3</v>
      </c>
      <c r="P261">
        <v>24</v>
      </c>
      <c r="Q261" s="46">
        <v>1</v>
      </c>
      <c r="R261">
        <v>2</v>
      </c>
    </row>
    <row r="262" spans="1:18" x14ac:dyDescent="0.25">
      <c r="A262">
        <v>261</v>
      </c>
      <c r="B262" t="s">
        <v>369</v>
      </c>
      <c r="C262" t="s">
        <v>359</v>
      </c>
      <c r="D262" s="7">
        <v>42481</v>
      </c>
      <c r="E262" t="s">
        <v>310</v>
      </c>
      <c r="G262" t="str">
        <f t="shared" si="16"/>
        <v>Inf</v>
      </c>
      <c r="H262">
        <v>0.2</v>
      </c>
      <c r="I262">
        <v>2.9999999999999997E-4</v>
      </c>
      <c r="J262">
        <f t="shared" si="17"/>
        <v>0.19970000000000002</v>
      </c>
      <c r="K262">
        <f t="shared" si="18"/>
        <v>0.20030000000000001</v>
      </c>
      <c r="L262">
        <f t="shared" si="19"/>
        <v>1.4999999999999999E-4</v>
      </c>
      <c r="M262" t="s">
        <v>360</v>
      </c>
      <c r="N262" t="s">
        <v>361</v>
      </c>
      <c r="O262">
        <v>3</v>
      </c>
      <c r="P262">
        <v>1.4999999999999999E-4</v>
      </c>
      <c r="Q262" s="46">
        <v>0</v>
      </c>
      <c r="R262">
        <v>2</v>
      </c>
    </row>
    <row r="263" spans="1:18" x14ac:dyDescent="0.25">
      <c r="A263">
        <v>262</v>
      </c>
      <c r="B263" t="s">
        <v>369</v>
      </c>
      <c r="C263" t="s">
        <v>359</v>
      </c>
      <c r="D263" s="7">
        <v>42481</v>
      </c>
      <c r="E263" t="s">
        <v>311</v>
      </c>
      <c r="G263" t="str">
        <f t="shared" si="16"/>
        <v>Inf</v>
      </c>
      <c r="H263">
        <v>5.1999999999999998E-2</v>
      </c>
      <c r="I263">
        <v>1.4999999999999999E-2</v>
      </c>
      <c r="J263">
        <f t="shared" si="17"/>
        <v>3.6999999999999998E-2</v>
      </c>
      <c r="K263">
        <f t="shared" si="18"/>
        <v>6.7000000000000004E-2</v>
      </c>
      <c r="L263">
        <f t="shared" si="19"/>
        <v>7.4999999999999997E-3</v>
      </c>
      <c r="M263" t="s">
        <v>360</v>
      </c>
      <c r="N263" t="s">
        <v>361</v>
      </c>
      <c r="O263">
        <v>3</v>
      </c>
      <c r="P263">
        <v>7.4999999999999997E-3</v>
      </c>
      <c r="Q263" s="46">
        <v>14</v>
      </c>
      <c r="R263">
        <v>2</v>
      </c>
    </row>
    <row r="264" spans="1:18" x14ac:dyDescent="0.25">
      <c r="A264">
        <v>263</v>
      </c>
      <c r="B264" t="s">
        <v>369</v>
      </c>
      <c r="C264" t="s">
        <v>359</v>
      </c>
      <c r="D264" s="7">
        <v>42481</v>
      </c>
      <c r="E264" t="s">
        <v>312</v>
      </c>
      <c r="G264" t="str">
        <f t="shared" si="16"/>
        <v>Inf</v>
      </c>
      <c r="H264">
        <v>2.8000000000000001E-2</v>
      </c>
      <c r="I264">
        <v>1.52E-2</v>
      </c>
      <c r="J264">
        <f t="shared" si="17"/>
        <v>1.2800000000000001E-2</v>
      </c>
      <c r="K264">
        <f t="shared" si="18"/>
        <v>4.3200000000000002E-2</v>
      </c>
      <c r="L264">
        <f t="shared" si="19"/>
        <v>7.6E-3</v>
      </c>
      <c r="M264" t="s">
        <v>360</v>
      </c>
      <c r="N264" t="s">
        <v>361</v>
      </c>
      <c r="O264">
        <v>3</v>
      </c>
      <c r="P264">
        <v>7.6E-3</v>
      </c>
      <c r="Q264" s="46">
        <v>28</v>
      </c>
      <c r="R264">
        <v>2</v>
      </c>
    </row>
    <row r="265" spans="1:18" x14ac:dyDescent="0.25">
      <c r="A265">
        <v>264</v>
      </c>
      <c r="B265" t="s">
        <v>369</v>
      </c>
      <c r="C265" t="s">
        <v>359</v>
      </c>
      <c r="D265" s="7">
        <v>42481</v>
      </c>
      <c r="E265" t="s">
        <v>313</v>
      </c>
      <c r="G265" t="str">
        <f t="shared" si="16"/>
        <v>Inf</v>
      </c>
      <c r="H265">
        <v>0.09</v>
      </c>
      <c r="I265">
        <v>6.6000000000000003E-2</v>
      </c>
      <c r="J265">
        <f t="shared" si="17"/>
        <v>2.3999999999999994E-2</v>
      </c>
      <c r="K265">
        <f t="shared" si="18"/>
        <v>0.156</v>
      </c>
      <c r="L265">
        <f t="shared" si="19"/>
        <v>3.3000000000000002E-2</v>
      </c>
      <c r="M265" t="s">
        <v>360</v>
      </c>
      <c r="N265" t="s">
        <v>361</v>
      </c>
      <c r="O265">
        <v>3</v>
      </c>
      <c r="P265">
        <v>3.3000000000000002E-2</v>
      </c>
      <c r="Q265" s="46">
        <v>37</v>
      </c>
      <c r="R265">
        <v>2</v>
      </c>
    </row>
    <row r="266" spans="1:18" x14ac:dyDescent="0.25">
      <c r="A266">
        <v>265</v>
      </c>
      <c r="B266" t="s">
        <v>369</v>
      </c>
      <c r="C266" t="s">
        <v>359</v>
      </c>
      <c r="D266" s="7">
        <v>42481</v>
      </c>
      <c r="E266" t="s">
        <v>314</v>
      </c>
      <c r="G266" t="str">
        <f t="shared" si="16"/>
        <v>Inf</v>
      </c>
      <c r="H266">
        <v>9.2999999999999999E-2</v>
      </c>
      <c r="I266">
        <v>3.2000000000000001E-2</v>
      </c>
      <c r="J266">
        <f t="shared" si="17"/>
        <v>6.0999999999999999E-2</v>
      </c>
      <c r="K266">
        <f t="shared" si="18"/>
        <v>0.125</v>
      </c>
      <c r="L266">
        <f t="shared" si="19"/>
        <v>1.6E-2</v>
      </c>
      <c r="M266" t="s">
        <v>360</v>
      </c>
      <c r="N266" t="s">
        <v>361</v>
      </c>
      <c r="O266">
        <v>4</v>
      </c>
      <c r="P266">
        <v>1.6E-2</v>
      </c>
      <c r="Q266" s="46">
        <v>18</v>
      </c>
      <c r="R266">
        <v>2</v>
      </c>
    </row>
    <row r="267" spans="1:18" x14ac:dyDescent="0.25">
      <c r="A267">
        <v>266</v>
      </c>
      <c r="B267" t="s">
        <v>369</v>
      </c>
      <c r="C267" t="s">
        <v>359</v>
      </c>
      <c r="D267" s="7">
        <v>42481</v>
      </c>
      <c r="E267" t="s">
        <v>411</v>
      </c>
      <c r="G267" t="str">
        <f t="shared" si="16"/>
        <v>Inf</v>
      </c>
      <c r="H267">
        <v>5.3</v>
      </c>
      <c r="I267">
        <v>1.34</v>
      </c>
      <c r="J267">
        <f t="shared" si="17"/>
        <v>3.96</v>
      </c>
      <c r="K267">
        <f t="shared" si="18"/>
        <v>6.64</v>
      </c>
      <c r="L267">
        <f t="shared" si="19"/>
        <v>0.67</v>
      </c>
      <c r="M267" t="s">
        <v>360</v>
      </c>
      <c r="N267" t="s">
        <v>361</v>
      </c>
      <c r="O267">
        <v>3</v>
      </c>
      <c r="P267">
        <v>0.67</v>
      </c>
      <c r="Q267" s="46">
        <v>13</v>
      </c>
      <c r="R267">
        <v>2</v>
      </c>
    </row>
    <row r="268" spans="1:18" x14ac:dyDescent="0.25">
      <c r="A268">
        <v>267</v>
      </c>
      <c r="B268" t="s">
        <v>369</v>
      </c>
      <c r="C268" t="s">
        <v>359</v>
      </c>
      <c r="D268" s="7">
        <v>42481</v>
      </c>
      <c r="E268" t="s">
        <v>412</v>
      </c>
      <c r="G268" t="str">
        <f t="shared" si="16"/>
        <v>Inf</v>
      </c>
      <c r="H268">
        <v>0.26</v>
      </c>
      <c r="I268">
        <v>9.1999999999999998E-2</v>
      </c>
      <c r="J268">
        <f t="shared" si="17"/>
        <v>0.16800000000000001</v>
      </c>
      <c r="K268">
        <f t="shared" si="18"/>
        <v>0.35199999999999998</v>
      </c>
      <c r="L268">
        <f t="shared" si="19"/>
        <v>4.5999999999999999E-2</v>
      </c>
      <c r="M268" t="s">
        <v>360</v>
      </c>
      <c r="N268" t="s">
        <v>361</v>
      </c>
      <c r="O268">
        <v>3</v>
      </c>
      <c r="P268">
        <v>4.5999999999999999E-2</v>
      </c>
      <c r="Q268" s="46">
        <v>18</v>
      </c>
      <c r="R268">
        <v>2</v>
      </c>
    </row>
    <row r="269" spans="1:18" x14ac:dyDescent="0.25">
      <c r="A269">
        <v>268</v>
      </c>
      <c r="B269" t="s">
        <v>369</v>
      </c>
      <c r="C269" t="s">
        <v>359</v>
      </c>
      <c r="D269" s="7">
        <v>42481</v>
      </c>
      <c r="E269" t="s">
        <v>413</v>
      </c>
      <c r="G269" t="str">
        <f t="shared" si="16"/>
        <v>Inf</v>
      </c>
      <c r="H269">
        <v>0.4</v>
      </c>
      <c r="I269">
        <v>0.1</v>
      </c>
      <c r="J269">
        <f t="shared" si="17"/>
        <v>0.30000000000000004</v>
      </c>
      <c r="K269">
        <f t="shared" si="18"/>
        <v>0.5</v>
      </c>
      <c r="L269">
        <f t="shared" si="19"/>
        <v>0.05</v>
      </c>
      <c r="M269" t="s">
        <v>360</v>
      </c>
      <c r="N269" t="s">
        <v>361</v>
      </c>
      <c r="O269">
        <v>3</v>
      </c>
      <c r="P269">
        <v>0.05</v>
      </c>
      <c r="Q269" s="46">
        <v>12</v>
      </c>
      <c r="R269">
        <v>2</v>
      </c>
    </row>
    <row r="270" spans="1:18" x14ac:dyDescent="0.25">
      <c r="A270">
        <v>269</v>
      </c>
      <c r="B270" t="s">
        <v>369</v>
      </c>
      <c r="C270" t="s">
        <v>359</v>
      </c>
      <c r="D270" s="7">
        <v>42481</v>
      </c>
      <c r="E270" t="s">
        <v>414</v>
      </c>
      <c r="G270" t="str">
        <f t="shared" si="16"/>
        <v>Inf</v>
      </c>
      <c r="H270">
        <v>0.97</v>
      </c>
      <c r="I270">
        <v>0.28000000000000003</v>
      </c>
      <c r="J270">
        <f t="shared" si="17"/>
        <v>0.69</v>
      </c>
      <c r="K270">
        <f t="shared" si="18"/>
        <v>1.25</v>
      </c>
      <c r="L270">
        <f t="shared" si="19"/>
        <v>0.14000000000000001</v>
      </c>
      <c r="M270" t="s">
        <v>360</v>
      </c>
      <c r="N270" t="s">
        <v>361</v>
      </c>
      <c r="O270">
        <v>3</v>
      </c>
      <c r="P270">
        <v>0.14000000000000001</v>
      </c>
      <c r="Q270" s="46">
        <v>15</v>
      </c>
      <c r="R270">
        <v>2</v>
      </c>
    </row>
    <row r="271" spans="1:18" x14ac:dyDescent="0.25">
      <c r="A271">
        <v>270</v>
      </c>
      <c r="B271" t="s">
        <v>369</v>
      </c>
      <c r="C271" t="s">
        <v>359</v>
      </c>
      <c r="D271" s="7">
        <v>42481</v>
      </c>
      <c r="E271" t="s">
        <v>315</v>
      </c>
      <c r="G271" t="str">
        <f t="shared" si="16"/>
        <v>Inf</v>
      </c>
      <c r="H271">
        <v>0.91</v>
      </c>
      <c r="I271">
        <v>0.68</v>
      </c>
      <c r="J271">
        <f t="shared" si="17"/>
        <v>0.22999999999999998</v>
      </c>
      <c r="K271">
        <f t="shared" si="18"/>
        <v>1.59</v>
      </c>
      <c r="L271">
        <f t="shared" si="19"/>
        <v>0.34</v>
      </c>
      <c r="M271" t="s">
        <v>360</v>
      </c>
      <c r="N271" t="s">
        <v>361</v>
      </c>
      <c r="O271">
        <v>4</v>
      </c>
      <c r="P271">
        <v>0.34</v>
      </c>
      <c r="Q271" s="46">
        <v>38</v>
      </c>
      <c r="R271">
        <v>2</v>
      </c>
    </row>
    <row r="272" spans="1:18" x14ac:dyDescent="0.25">
      <c r="A272">
        <v>271</v>
      </c>
      <c r="B272" t="s">
        <v>369</v>
      </c>
      <c r="C272" t="s">
        <v>359</v>
      </c>
      <c r="D272" s="7">
        <v>42481</v>
      </c>
      <c r="E272" t="s">
        <v>316</v>
      </c>
      <c r="G272" t="str">
        <f t="shared" si="16"/>
        <v>Inf</v>
      </c>
      <c r="H272">
        <v>1.7</v>
      </c>
      <c r="I272">
        <v>0.46</v>
      </c>
      <c r="J272">
        <f t="shared" si="17"/>
        <v>1.24</v>
      </c>
      <c r="K272">
        <f t="shared" si="18"/>
        <v>2.16</v>
      </c>
      <c r="L272">
        <f t="shared" si="19"/>
        <v>0.23</v>
      </c>
      <c r="M272" t="s">
        <v>360</v>
      </c>
      <c r="N272" t="s">
        <v>361</v>
      </c>
      <c r="O272">
        <v>3</v>
      </c>
      <c r="P272">
        <v>0.23</v>
      </c>
      <c r="Q272" s="46">
        <v>14</v>
      </c>
      <c r="R272">
        <v>2</v>
      </c>
    </row>
    <row r="273" spans="1:18" x14ac:dyDescent="0.25">
      <c r="A273">
        <v>272</v>
      </c>
      <c r="B273" t="s">
        <v>369</v>
      </c>
      <c r="C273" t="s">
        <v>359</v>
      </c>
      <c r="D273" s="7">
        <v>42481</v>
      </c>
      <c r="E273" t="s">
        <v>317</v>
      </c>
      <c r="G273" t="str">
        <f t="shared" si="16"/>
        <v>Inf</v>
      </c>
      <c r="H273">
        <v>0.86</v>
      </c>
      <c r="I273">
        <v>0.3</v>
      </c>
      <c r="J273">
        <f t="shared" si="17"/>
        <v>0.56000000000000005</v>
      </c>
      <c r="K273">
        <f t="shared" si="18"/>
        <v>1.1599999999999999</v>
      </c>
      <c r="L273">
        <f t="shared" si="19"/>
        <v>0.15</v>
      </c>
      <c r="M273" t="s">
        <v>360</v>
      </c>
      <c r="N273" t="s">
        <v>361</v>
      </c>
      <c r="O273">
        <v>3</v>
      </c>
      <c r="P273">
        <v>0.15</v>
      </c>
      <c r="Q273" s="46">
        <v>18</v>
      </c>
      <c r="R273">
        <v>2</v>
      </c>
    </row>
    <row r="274" spans="1:18" x14ac:dyDescent="0.25">
      <c r="A274">
        <v>273</v>
      </c>
      <c r="B274" t="s">
        <v>369</v>
      </c>
      <c r="C274" t="s">
        <v>359</v>
      </c>
      <c r="D274" s="7">
        <v>42481</v>
      </c>
      <c r="E274" t="s">
        <v>318</v>
      </c>
      <c r="G274" t="str">
        <f t="shared" si="16"/>
        <v>Inf</v>
      </c>
      <c r="H274">
        <v>1.8</v>
      </c>
      <c r="I274">
        <v>0.34</v>
      </c>
      <c r="J274">
        <f t="shared" si="17"/>
        <v>1.46</v>
      </c>
      <c r="K274">
        <f t="shared" si="18"/>
        <v>2.14</v>
      </c>
      <c r="L274">
        <f t="shared" si="19"/>
        <v>0.17</v>
      </c>
      <c r="M274" t="s">
        <v>360</v>
      </c>
      <c r="N274" t="s">
        <v>361</v>
      </c>
      <c r="O274">
        <v>3</v>
      </c>
      <c r="P274">
        <v>0.17</v>
      </c>
      <c r="Q274" s="46">
        <v>9</v>
      </c>
      <c r="R274">
        <v>2</v>
      </c>
    </row>
    <row r="275" spans="1:18" x14ac:dyDescent="0.25">
      <c r="A275">
        <v>274</v>
      </c>
      <c r="B275" t="s">
        <v>369</v>
      </c>
      <c r="C275" t="s">
        <v>359</v>
      </c>
      <c r="D275" s="7">
        <v>42481</v>
      </c>
      <c r="E275" t="s">
        <v>319</v>
      </c>
      <c r="G275" t="str">
        <f t="shared" si="16"/>
        <v>Inf</v>
      </c>
      <c r="H275">
        <v>0.41</v>
      </c>
      <c r="I275">
        <v>0.26</v>
      </c>
      <c r="J275">
        <f t="shared" si="17"/>
        <v>0.14999999999999997</v>
      </c>
      <c r="K275">
        <f t="shared" si="18"/>
        <v>0.66999999999999993</v>
      </c>
      <c r="L275">
        <f t="shared" si="19"/>
        <v>0.13</v>
      </c>
      <c r="M275" t="s">
        <v>360</v>
      </c>
      <c r="N275" t="s">
        <v>361</v>
      </c>
      <c r="O275">
        <v>3</v>
      </c>
      <c r="P275">
        <v>0.13</v>
      </c>
      <c r="Q275" s="46">
        <v>31</v>
      </c>
      <c r="R275">
        <v>2</v>
      </c>
    </row>
    <row r="276" spans="1:18" x14ac:dyDescent="0.25">
      <c r="A276">
        <v>275</v>
      </c>
      <c r="B276" t="s">
        <v>369</v>
      </c>
      <c r="C276" t="s">
        <v>359</v>
      </c>
      <c r="D276" s="7">
        <v>42481</v>
      </c>
      <c r="E276" t="s">
        <v>320</v>
      </c>
      <c r="G276" t="str">
        <f t="shared" si="16"/>
        <v>Inf</v>
      </c>
      <c r="H276">
        <v>2.3E-2</v>
      </c>
      <c r="I276">
        <v>9.7999999999999997E-3</v>
      </c>
      <c r="J276">
        <f t="shared" si="17"/>
        <v>1.32E-2</v>
      </c>
      <c r="K276">
        <f t="shared" si="18"/>
        <v>3.2799999999999996E-2</v>
      </c>
      <c r="L276">
        <f t="shared" si="19"/>
        <v>4.8999999999999998E-3</v>
      </c>
      <c r="M276" t="s">
        <v>360</v>
      </c>
      <c r="N276" t="s">
        <v>361</v>
      </c>
      <c r="O276">
        <v>4</v>
      </c>
      <c r="P276">
        <v>4.8999999999999998E-3</v>
      </c>
      <c r="Q276" s="46">
        <v>22</v>
      </c>
      <c r="R276">
        <v>2</v>
      </c>
    </row>
    <row r="277" spans="1:18" x14ac:dyDescent="0.25">
      <c r="A277">
        <v>276</v>
      </c>
      <c r="B277" t="s">
        <v>369</v>
      </c>
      <c r="C277" t="s">
        <v>359</v>
      </c>
      <c r="D277" s="7">
        <v>42481</v>
      </c>
      <c r="E277" t="s">
        <v>321</v>
      </c>
      <c r="G277" t="str">
        <f t="shared" si="16"/>
        <v>Inf</v>
      </c>
      <c r="H277">
        <v>2.1999999999999999E-2</v>
      </c>
      <c r="I277">
        <v>1.4200000000000001E-2</v>
      </c>
      <c r="J277">
        <f t="shared" si="17"/>
        <v>7.7999999999999979E-3</v>
      </c>
      <c r="K277">
        <f t="shared" si="18"/>
        <v>3.6199999999999996E-2</v>
      </c>
      <c r="L277">
        <f t="shared" si="19"/>
        <v>7.1000000000000004E-3</v>
      </c>
      <c r="M277" t="s">
        <v>360</v>
      </c>
      <c r="N277" t="s">
        <v>361</v>
      </c>
      <c r="O277">
        <v>3</v>
      </c>
      <c r="P277">
        <v>7.1000000000000004E-3</v>
      </c>
      <c r="Q277" s="46">
        <v>33</v>
      </c>
      <c r="R277">
        <v>2</v>
      </c>
    </row>
    <row r="278" spans="1:18" x14ac:dyDescent="0.25">
      <c r="A278">
        <v>277</v>
      </c>
      <c r="B278" t="s">
        <v>369</v>
      </c>
      <c r="C278" t="s">
        <v>359</v>
      </c>
      <c r="D278" s="7">
        <v>42481</v>
      </c>
      <c r="E278" t="s">
        <v>322</v>
      </c>
      <c r="G278" t="str">
        <f t="shared" si="16"/>
        <v>Inf</v>
      </c>
      <c r="H278">
        <v>1.4999999999999999E-2</v>
      </c>
      <c r="I278">
        <v>6.1999999999999998E-3</v>
      </c>
      <c r="J278">
        <f t="shared" si="17"/>
        <v>8.7999999999999988E-3</v>
      </c>
      <c r="K278">
        <f t="shared" si="18"/>
        <v>2.12E-2</v>
      </c>
      <c r="L278">
        <f t="shared" si="19"/>
        <v>3.0999999999999999E-3</v>
      </c>
      <c r="M278" t="s">
        <v>360</v>
      </c>
      <c r="N278" t="s">
        <v>361</v>
      </c>
      <c r="O278">
        <v>3</v>
      </c>
      <c r="P278">
        <v>3.0999999999999999E-3</v>
      </c>
      <c r="Q278" s="46">
        <v>21</v>
      </c>
      <c r="R278">
        <v>2</v>
      </c>
    </row>
    <row r="279" spans="1:18" x14ac:dyDescent="0.25">
      <c r="A279">
        <v>278</v>
      </c>
      <c r="B279" t="s">
        <v>369</v>
      </c>
      <c r="C279" t="s">
        <v>359</v>
      </c>
      <c r="D279" s="7">
        <v>42481</v>
      </c>
      <c r="E279" t="s">
        <v>323</v>
      </c>
      <c r="G279" t="str">
        <f t="shared" si="16"/>
        <v>Inf</v>
      </c>
      <c r="H279">
        <v>0.16</v>
      </c>
      <c r="I279">
        <v>0.05</v>
      </c>
      <c r="J279">
        <f t="shared" si="17"/>
        <v>0.11</v>
      </c>
      <c r="K279">
        <f t="shared" si="18"/>
        <v>0.21000000000000002</v>
      </c>
      <c r="L279">
        <f t="shared" si="19"/>
        <v>2.5000000000000001E-2</v>
      </c>
      <c r="M279" t="s">
        <v>360</v>
      </c>
      <c r="N279" t="s">
        <v>361</v>
      </c>
      <c r="O279">
        <v>4</v>
      </c>
      <c r="P279">
        <v>2.5000000000000001E-2</v>
      </c>
      <c r="Q279" s="46">
        <v>15</v>
      </c>
      <c r="R279">
        <v>2</v>
      </c>
    </row>
    <row r="280" spans="1:18" x14ac:dyDescent="0.25">
      <c r="A280">
        <v>279</v>
      </c>
      <c r="B280" t="s">
        <v>369</v>
      </c>
      <c r="C280" t="s">
        <v>359</v>
      </c>
      <c r="D280" s="7">
        <v>42481</v>
      </c>
      <c r="E280" t="s">
        <v>324</v>
      </c>
      <c r="G280" t="str">
        <f t="shared" si="16"/>
        <v>Inf</v>
      </c>
      <c r="H280">
        <v>0.46</v>
      </c>
      <c r="I280">
        <v>0.28000000000000003</v>
      </c>
      <c r="J280">
        <f t="shared" si="17"/>
        <v>0.18</v>
      </c>
      <c r="K280">
        <f t="shared" si="18"/>
        <v>0.74</v>
      </c>
      <c r="L280">
        <f t="shared" si="19"/>
        <v>0.14000000000000001</v>
      </c>
      <c r="M280" t="s">
        <v>360</v>
      </c>
      <c r="N280" t="s">
        <v>361</v>
      </c>
      <c r="O280">
        <v>4</v>
      </c>
      <c r="P280">
        <v>0.14000000000000001</v>
      </c>
      <c r="Q280" s="46">
        <v>29</v>
      </c>
      <c r="R280">
        <v>2</v>
      </c>
    </row>
    <row r="281" spans="1:18" x14ac:dyDescent="0.25">
      <c r="A281">
        <v>280</v>
      </c>
      <c r="B281" t="s">
        <v>369</v>
      </c>
      <c r="C281" t="s">
        <v>359</v>
      </c>
      <c r="D281" s="7">
        <v>42481</v>
      </c>
      <c r="E281" t="s">
        <v>325</v>
      </c>
      <c r="G281" t="str">
        <f t="shared" si="16"/>
        <v>Inf</v>
      </c>
      <c r="H281">
        <v>6.7000000000000004E-2</v>
      </c>
      <c r="I281">
        <v>2.2000000000000001E-3</v>
      </c>
      <c r="J281">
        <f t="shared" si="17"/>
        <v>6.480000000000001E-2</v>
      </c>
      <c r="K281">
        <f t="shared" si="18"/>
        <v>6.9199999999999998E-2</v>
      </c>
      <c r="L281">
        <f t="shared" si="19"/>
        <v>1.1000000000000001E-3</v>
      </c>
      <c r="M281" t="s">
        <v>360</v>
      </c>
      <c r="N281" t="s">
        <v>361</v>
      </c>
      <c r="O281">
        <v>3</v>
      </c>
      <c r="P281">
        <v>1.1000000000000001E-3</v>
      </c>
      <c r="Q281" s="46">
        <v>2</v>
      </c>
      <c r="R281">
        <v>2</v>
      </c>
    </row>
    <row r="282" spans="1:18" x14ac:dyDescent="0.25">
      <c r="A282">
        <v>281</v>
      </c>
      <c r="B282" t="s">
        <v>369</v>
      </c>
      <c r="C282" t="s">
        <v>359</v>
      </c>
      <c r="D282" s="7">
        <v>42481</v>
      </c>
      <c r="E282" t="s">
        <v>326</v>
      </c>
      <c r="G282" t="str">
        <f t="shared" si="16"/>
        <v>Inf</v>
      </c>
      <c r="H282">
        <v>1.3</v>
      </c>
      <c r="I282">
        <v>0.6</v>
      </c>
      <c r="J282">
        <f t="shared" si="17"/>
        <v>0.70000000000000007</v>
      </c>
      <c r="K282">
        <f t="shared" si="18"/>
        <v>1.9</v>
      </c>
      <c r="L282">
        <f t="shared" si="19"/>
        <v>0.3</v>
      </c>
      <c r="M282" t="s">
        <v>360</v>
      </c>
      <c r="N282" t="s">
        <v>361</v>
      </c>
      <c r="O282">
        <v>3</v>
      </c>
      <c r="P282">
        <v>0.3</v>
      </c>
      <c r="Q282" s="46">
        <v>24</v>
      </c>
      <c r="R282">
        <v>2</v>
      </c>
    </row>
    <row r="283" spans="1:18" x14ac:dyDescent="0.25">
      <c r="A283">
        <v>282</v>
      </c>
      <c r="B283" t="s">
        <v>369</v>
      </c>
      <c r="C283" t="s">
        <v>359</v>
      </c>
      <c r="D283" s="7">
        <v>42481</v>
      </c>
      <c r="E283" t="s">
        <v>327</v>
      </c>
      <c r="G283" t="str">
        <f t="shared" si="16"/>
        <v>Inf</v>
      </c>
      <c r="H283">
        <v>0.14000000000000001</v>
      </c>
      <c r="I283">
        <v>0.04</v>
      </c>
      <c r="J283">
        <f t="shared" si="17"/>
        <v>0.1</v>
      </c>
      <c r="K283">
        <f t="shared" si="18"/>
        <v>0.18000000000000002</v>
      </c>
      <c r="L283">
        <f t="shared" si="19"/>
        <v>0.02</v>
      </c>
      <c r="M283" t="s">
        <v>360</v>
      </c>
      <c r="N283" t="s">
        <v>361</v>
      </c>
      <c r="O283">
        <v>4</v>
      </c>
      <c r="P283">
        <v>0.02</v>
      </c>
      <c r="Q283" s="46">
        <v>14</v>
      </c>
      <c r="R283">
        <v>2</v>
      </c>
    </row>
    <row r="284" spans="1:18" x14ac:dyDescent="0.25">
      <c r="A284">
        <v>283</v>
      </c>
      <c r="B284" t="s">
        <v>369</v>
      </c>
      <c r="C284" t="s">
        <v>359</v>
      </c>
      <c r="D284" s="7">
        <v>42481</v>
      </c>
      <c r="E284" t="s">
        <v>328</v>
      </c>
      <c r="G284" t="str">
        <f t="shared" si="16"/>
        <v>Inf</v>
      </c>
      <c r="H284">
        <v>0.15</v>
      </c>
      <c r="I284">
        <v>0.09</v>
      </c>
      <c r="J284">
        <f t="shared" si="17"/>
        <v>0.06</v>
      </c>
      <c r="K284">
        <f t="shared" si="18"/>
        <v>0.24</v>
      </c>
      <c r="L284">
        <f t="shared" si="19"/>
        <v>4.4999999999999998E-2</v>
      </c>
      <c r="M284" t="s">
        <v>360</v>
      </c>
      <c r="N284" t="s">
        <v>361</v>
      </c>
      <c r="O284">
        <v>4</v>
      </c>
      <c r="P284">
        <v>4.4999999999999998E-2</v>
      </c>
      <c r="Q284" s="46">
        <v>30</v>
      </c>
      <c r="R284">
        <v>2</v>
      </c>
    </row>
    <row r="285" spans="1:18" x14ac:dyDescent="0.25">
      <c r="A285">
        <v>284</v>
      </c>
      <c r="B285" t="s">
        <v>369</v>
      </c>
      <c r="C285" t="s">
        <v>359</v>
      </c>
      <c r="D285" s="7">
        <v>42481</v>
      </c>
      <c r="E285" t="s">
        <v>329</v>
      </c>
      <c r="G285" t="str">
        <f t="shared" si="16"/>
        <v>Inf</v>
      </c>
      <c r="H285">
        <v>0.55000000000000004</v>
      </c>
      <c r="I285">
        <v>0.44</v>
      </c>
      <c r="J285">
        <f t="shared" si="17"/>
        <v>0.11000000000000004</v>
      </c>
      <c r="K285">
        <f t="shared" si="18"/>
        <v>0.99</v>
      </c>
      <c r="L285">
        <f t="shared" si="19"/>
        <v>0.22</v>
      </c>
      <c r="M285" t="s">
        <v>360</v>
      </c>
      <c r="N285" t="s">
        <v>361</v>
      </c>
      <c r="O285">
        <v>4</v>
      </c>
      <c r="P285">
        <v>0.22</v>
      </c>
      <c r="Q285" s="46">
        <v>40</v>
      </c>
      <c r="R285">
        <v>2</v>
      </c>
    </row>
    <row r="286" spans="1:18" x14ac:dyDescent="0.25">
      <c r="A286">
        <v>285</v>
      </c>
      <c r="B286" t="s">
        <v>369</v>
      </c>
      <c r="C286" t="s">
        <v>359</v>
      </c>
      <c r="D286" s="7">
        <v>42481</v>
      </c>
      <c r="E286" t="s">
        <v>330</v>
      </c>
      <c r="G286" t="str">
        <f t="shared" si="16"/>
        <v>Inf</v>
      </c>
      <c r="H286">
        <v>0.5</v>
      </c>
      <c r="I286">
        <v>0.22</v>
      </c>
      <c r="J286">
        <f t="shared" si="17"/>
        <v>0.28000000000000003</v>
      </c>
      <c r="K286">
        <f t="shared" si="18"/>
        <v>0.72</v>
      </c>
      <c r="L286">
        <f t="shared" si="19"/>
        <v>0.11</v>
      </c>
      <c r="M286" t="s">
        <v>360</v>
      </c>
      <c r="N286" t="s">
        <v>361</v>
      </c>
      <c r="O286">
        <v>4</v>
      </c>
      <c r="P286">
        <v>0.11</v>
      </c>
      <c r="Q286" s="46">
        <v>22</v>
      </c>
      <c r="R286">
        <v>2</v>
      </c>
    </row>
    <row r="287" spans="1:18" x14ac:dyDescent="0.25">
      <c r="A287">
        <v>286</v>
      </c>
      <c r="B287" t="s">
        <v>369</v>
      </c>
      <c r="C287" t="s">
        <v>359</v>
      </c>
      <c r="D287" s="7">
        <v>42481</v>
      </c>
      <c r="E287" t="s">
        <v>331</v>
      </c>
      <c r="G287" t="str">
        <f t="shared" si="16"/>
        <v>Inf</v>
      </c>
      <c r="H287">
        <v>0.23</v>
      </c>
      <c r="I287">
        <v>9.1999999999999998E-2</v>
      </c>
      <c r="J287">
        <f t="shared" si="17"/>
        <v>0.13800000000000001</v>
      </c>
      <c r="K287">
        <f t="shared" si="18"/>
        <v>0.32200000000000001</v>
      </c>
      <c r="L287">
        <f t="shared" si="19"/>
        <v>4.5999999999999999E-2</v>
      </c>
      <c r="M287" t="s">
        <v>360</v>
      </c>
      <c r="N287" t="s">
        <v>361</v>
      </c>
      <c r="O287">
        <v>3</v>
      </c>
      <c r="P287">
        <v>4.5999999999999999E-2</v>
      </c>
      <c r="Q287" s="46">
        <v>20</v>
      </c>
      <c r="R287">
        <v>2</v>
      </c>
    </row>
    <row r="288" spans="1:18" x14ac:dyDescent="0.25">
      <c r="A288">
        <v>287</v>
      </c>
      <c r="B288" t="s">
        <v>369</v>
      </c>
      <c r="C288" t="s">
        <v>359</v>
      </c>
      <c r="D288" s="7">
        <v>42481</v>
      </c>
      <c r="E288" t="s">
        <v>332</v>
      </c>
      <c r="G288" t="str">
        <f t="shared" si="16"/>
        <v>Inf</v>
      </c>
      <c r="H288">
        <v>0.24</v>
      </c>
      <c r="I288">
        <v>0.08</v>
      </c>
      <c r="J288">
        <f t="shared" si="17"/>
        <v>0.15999999999999998</v>
      </c>
      <c r="K288">
        <f t="shared" si="18"/>
        <v>0.32</v>
      </c>
      <c r="L288">
        <f t="shared" si="19"/>
        <v>0.04</v>
      </c>
      <c r="M288" t="s">
        <v>360</v>
      </c>
      <c r="N288" t="s">
        <v>361</v>
      </c>
      <c r="O288">
        <v>3</v>
      </c>
      <c r="P288">
        <v>0.04</v>
      </c>
      <c r="Q288" s="46">
        <v>16</v>
      </c>
      <c r="R288">
        <v>2</v>
      </c>
    </row>
    <row r="289" spans="1:18" x14ac:dyDescent="0.25">
      <c r="A289">
        <v>288</v>
      </c>
      <c r="B289" t="s">
        <v>369</v>
      </c>
      <c r="C289" t="s">
        <v>359</v>
      </c>
      <c r="D289" s="7">
        <v>42481</v>
      </c>
      <c r="E289" t="s">
        <v>333</v>
      </c>
      <c r="G289" t="str">
        <f t="shared" si="16"/>
        <v>Inf</v>
      </c>
      <c r="H289">
        <v>4.3999999999999997E-2</v>
      </c>
      <c r="I289">
        <v>1.44E-2</v>
      </c>
      <c r="J289">
        <f t="shared" si="17"/>
        <v>2.9599999999999998E-2</v>
      </c>
      <c r="K289">
        <f t="shared" si="18"/>
        <v>5.8399999999999994E-2</v>
      </c>
      <c r="L289">
        <f t="shared" si="19"/>
        <v>7.1999999999999998E-3</v>
      </c>
      <c r="M289" t="s">
        <v>360</v>
      </c>
      <c r="N289" t="s">
        <v>361</v>
      </c>
      <c r="O289">
        <v>3</v>
      </c>
      <c r="P289">
        <v>7.1999999999999998E-3</v>
      </c>
      <c r="Q289" s="46">
        <v>16</v>
      </c>
      <c r="R289">
        <v>2</v>
      </c>
    </row>
    <row r="290" spans="1:18" x14ac:dyDescent="0.25">
      <c r="A290">
        <v>289</v>
      </c>
      <c r="B290" t="s">
        <v>369</v>
      </c>
      <c r="C290" t="s">
        <v>359</v>
      </c>
      <c r="D290" s="7">
        <v>42481</v>
      </c>
      <c r="E290" t="s">
        <v>334</v>
      </c>
      <c r="G290" t="str">
        <f t="shared" si="16"/>
        <v>Inf</v>
      </c>
      <c r="H290">
        <v>0.36</v>
      </c>
      <c r="I290">
        <v>4.2000000000000003E-2</v>
      </c>
      <c r="J290">
        <f t="shared" si="17"/>
        <v>0.318</v>
      </c>
      <c r="K290">
        <f t="shared" si="18"/>
        <v>0.40199999999999997</v>
      </c>
      <c r="L290">
        <f t="shared" si="19"/>
        <v>2.1000000000000001E-2</v>
      </c>
      <c r="M290" t="s">
        <v>360</v>
      </c>
      <c r="N290" t="s">
        <v>361</v>
      </c>
      <c r="O290">
        <v>3</v>
      </c>
      <c r="P290">
        <v>2.1000000000000001E-2</v>
      </c>
      <c r="Q290" s="46">
        <v>6</v>
      </c>
      <c r="R290">
        <v>2</v>
      </c>
    </row>
    <row r="291" spans="1:18" x14ac:dyDescent="0.25">
      <c r="A291">
        <v>290</v>
      </c>
      <c r="B291" t="s">
        <v>369</v>
      </c>
      <c r="C291" t="s">
        <v>359</v>
      </c>
      <c r="D291" s="7">
        <v>42481</v>
      </c>
      <c r="E291" t="s">
        <v>406</v>
      </c>
      <c r="G291" t="str">
        <f t="shared" si="16"/>
        <v>Inf</v>
      </c>
      <c r="H291">
        <v>0.1</v>
      </c>
      <c r="I291">
        <v>7.0000000000000007E-2</v>
      </c>
      <c r="J291">
        <f t="shared" si="17"/>
        <v>0.03</v>
      </c>
      <c r="K291">
        <f t="shared" si="18"/>
        <v>0.17</v>
      </c>
      <c r="L291">
        <f t="shared" si="19"/>
        <v>3.5000000000000003E-2</v>
      </c>
      <c r="M291" t="s">
        <v>360</v>
      </c>
      <c r="N291" t="s">
        <v>361</v>
      </c>
      <c r="O291">
        <v>3</v>
      </c>
      <c r="P291">
        <v>3.5000000000000003E-2</v>
      </c>
      <c r="Q291" s="46">
        <v>35</v>
      </c>
      <c r="R291">
        <v>2</v>
      </c>
    </row>
    <row r="292" spans="1:18" x14ac:dyDescent="0.25">
      <c r="A292">
        <v>291</v>
      </c>
      <c r="B292" t="s">
        <v>369</v>
      </c>
      <c r="C292" t="s">
        <v>359</v>
      </c>
      <c r="D292" s="7">
        <v>42481</v>
      </c>
      <c r="E292" t="s">
        <v>407</v>
      </c>
      <c r="G292" t="str">
        <f t="shared" si="16"/>
        <v>Inf</v>
      </c>
      <c r="H292">
        <v>0.42</v>
      </c>
      <c r="I292">
        <v>1.52E-2</v>
      </c>
      <c r="J292">
        <f t="shared" si="17"/>
        <v>0.40479999999999999</v>
      </c>
      <c r="K292">
        <f t="shared" si="18"/>
        <v>0.43519999999999998</v>
      </c>
      <c r="L292">
        <f t="shared" si="19"/>
        <v>7.6E-3</v>
      </c>
      <c r="M292" t="s">
        <v>360</v>
      </c>
      <c r="N292" t="s">
        <v>361</v>
      </c>
      <c r="O292">
        <v>3</v>
      </c>
      <c r="P292">
        <v>7.6E-3</v>
      </c>
      <c r="Q292" s="46">
        <v>2</v>
      </c>
      <c r="R292">
        <v>2</v>
      </c>
    </row>
    <row r="293" spans="1:18" x14ac:dyDescent="0.25">
      <c r="A293">
        <v>292</v>
      </c>
      <c r="B293" t="s">
        <v>369</v>
      </c>
      <c r="C293" t="s">
        <v>359</v>
      </c>
      <c r="D293" s="7">
        <v>42481</v>
      </c>
      <c r="E293" t="s">
        <v>335</v>
      </c>
      <c r="G293" t="str">
        <f t="shared" si="16"/>
        <v>Inf</v>
      </c>
      <c r="H293">
        <v>0.18</v>
      </c>
      <c r="I293">
        <v>1.8800000000000001E-2</v>
      </c>
      <c r="J293">
        <f t="shared" si="17"/>
        <v>0.16119999999999998</v>
      </c>
      <c r="K293">
        <f t="shared" si="18"/>
        <v>0.1988</v>
      </c>
      <c r="L293">
        <f t="shared" si="19"/>
        <v>9.4000000000000004E-3</v>
      </c>
      <c r="M293" t="s">
        <v>360</v>
      </c>
      <c r="N293" t="s">
        <v>361</v>
      </c>
      <c r="O293">
        <v>4</v>
      </c>
      <c r="P293">
        <v>9.4000000000000004E-3</v>
      </c>
      <c r="Q293" s="46">
        <v>5</v>
      </c>
      <c r="R293">
        <v>2</v>
      </c>
    </row>
    <row r="294" spans="1:18" x14ac:dyDescent="0.25">
      <c r="A294">
        <v>293</v>
      </c>
      <c r="B294" t="s">
        <v>369</v>
      </c>
      <c r="C294" t="s">
        <v>359</v>
      </c>
      <c r="D294" s="7">
        <v>42481</v>
      </c>
      <c r="E294" t="s">
        <v>336</v>
      </c>
      <c r="G294" t="str">
        <f t="shared" si="16"/>
        <v>Inf</v>
      </c>
      <c r="H294">
        <v>0.21</v>
      </c>
      <c r="I294">
        <v>5.3999999999999999E-2</v>
      </c>
      <c r="J294">
        <f t="shared" si="17"/>
        <v>0.156</v>
      </c>
      <c r="K294">
        <f t="shared" si="18"/>
        <v>0.26400000000000001</v>
      </c>
      <c r="L294">
        <f t="shared" si="19"/>
        <v>2.7E-2</v>
      </c>
      <c r="M294" t="s">
        <v>360</v>
      </c>
      <c r="N294" t="s">
        <v>361</v>
      </c>
      <c r="O294">
        <v>3</v>
      </c>
      <c r="P294">
        <v>2.7E-2</v>
      </c>
      <c r="Q294" s="46">
        <v>13</v>
      </c>
      <c r="R294">
        <v>2</v>
      </c>
    </row>
    <row r="295" spans="1:18" x14ac:dyDescent="0.25">
      <c r="A295">
        <v>294</v>
      </c>
      <c r="B295" t="s">
        <v>369</v>
      </c>
      <c r="C295" t="s">
        <v>359</v>
      </c>
      <c r="D295" s="7">
        <v>42481</v>
      </c>
      <c r="E295" t="s">
        <v>337</v>
      </c>
      <c r="G295" t="str">
        <f t="shared" si="16"/>
        <v>Inf</v>
      </c>
      <c r="H295">
        <v>0.31</v>
      </c>
      <c r="I295">
        <v>0.11</v>
      </c>
      <c r="J295">
        <f t="shared" si="17"/>
        <v>0.2</v>
      </c>
      <c r="K295">
        <f t="shared" si="18"/>
        <v>0.42</v>
      </c>
      <c r="L295">
        <f t="shared" si="19"/>
        <v>5.5E-2</v>
      </c>
      <c r="M295" t="s">
        <v>360</v>
      </c>
      <c r="N295" t="s">
        <v>361</v>
      </c>
      <c r="O295">
        <v>3</v>
      </c>
      <c r="P295">
        <v>5.5E-2</v>
      </c>
      <c r="Q295" s="46">
        <v>18</v>
      </c>
      <c r="R295">
        <v>2</v>
      </c>
    </row>
    <row r="296" spans="1:18" x14ac:dyDescent="0.25">
      <c r="A296">
        <v>295</v>
      </c>
      <c r="B296" t="s">
        <v>369</v>
      </c>
      <c r="C296" t="s">
        <v>359</v>
      </c>
      <c r="D296" s="7">
        <v>42481</v>
      </c>
      <c r="E296" t="s">
        <v>338</v>
      </c>
      <c r="G296" t="str">
        <f t="shared" si="16"/>
        <v>Inf</v>
      </c>
      <c r="H296">
        <v>0.92</v>
      </c>
      <c r="I296">
        <v>0.6</v>
      </c>
      <c r="J296">
        <f t="shared" si="17"/>
        <v>0.32000000000000006</v>
      </c>
      <c r="K296">
        <f t="shared" si="18"/>
        <v>1.52</v>
      </c>
      <c r="L296">
        <f t="shared" si="19"/>
        <v>0.3</v>
      </c>
      <c r="M296" t="s">
        <v>360</v>
      </c>
      <c r="N296" t="s">
        <v>361</v>
      </c>
      <c r="O296">
        <v>4</v>
      </c>
      <c r="P296">
        <v>0.3</v>
      </c>
      <c r="Q296" s="46">
        <v>32</v>
      </c>
      <c r="R296">
        <v>2</v>
      </c>
    </row>
    <row r="297" spans="1:18" x14ac:dyDescent="0.25">
      <c r="A297">
        <v>296</v>
      </c>
      <c r="B297" t="s">
        <v>369</v>
      </c>
      <c r="C297" t="s">
        <v>359</v>
      </c>
      <c r="D297" s="7">
        <v>42481</v>
      </c>
      <c r="E297" t="s">
        <v>339</v>
      </c>
      <c r="G297" t="str">
        <f t="shared" si="16"/>
        <v>Inf</v>
      </c>
      <c r="H297">
        <v>0.43</v>
      </c>
      <c r="I297">
        <v>0.3</v>
      </c>
      <c r="J297">
        <f t="shared" si="17"/>
        <v>0.13</v>
      </c>
      <c r="K297">
        <f t="shared" si="18"/>
        <v>0.73</v>
      </c>
      <c r="L297">
        <f t="shared" si="19"/>
        <v>0.15</v>
      </c>
      <c r="M297" t="s">
        <v>360</v>
      </c>
      <c r="N297" t="s">
        <v>361</v>
      </c>
      <c r="O297">
        <v>3</v>
      </c>
      <c r="P297">
        <v>0.15</v>
      </c>
      <c r="Q297" s="46">
        <v>34</v>
      </c>
      <c r="R297">
        <v>2</v>
      </c>
    </row>
    <row r="298" spans="1:18" x14ac:dyDescent="0.25">
      <c r="A298">
        <v>297</v>
      </c>
      <c r="B298" t="s">
        <v>369</v>
      </c>
      <c r="C298" t="s">
        <v>359</v>
      </c>
      <c r="D298" s="7">
        <v>42481</v>
      </c>
      <c r="E298" t="s">
        <v>340</v>
      </c>
      <c r="G298" t="str">
        <f t="shared" si="16"/>
        <v>Inf</v>
      </c>
      <c r="H298">
        <v>0.11</v>
      </c>
      <c r="I298">
        <v>3.5999999999999997E-2</v>
      </c>
      <c r="J298">
        <f t="shared" si="17"/>
        <v>7.400000000000001E-2</v>
      </c>
      <c r="K298">
        <f t="shared" si="18"/>
        <v>0.14599999999999999</v>
      </c>
      <c r="L298">
        <f t="shared" si="19"/>
        <v>1.7999999999999999E-2</v>
      </c>
      <c r="M298" t="s">
        <v>360</v>
      </c>
      <c r="N298" t="s">
        <v>361</v>
      </c>
      <c r="O298">
        <v>3</v>
      </c>
      <c r="P298">
        <v>1.7999999999999999E-2</v>
      </c>
      <c r="Q298" s="46">
        <v>16</v>
      </c>
      <c r="R298">
        <v>2</v>
      </c>
    </row>
    <row r="299" spans="1:18" x14ac:dyDescent="0.25">
      <c r="A299">
        <v>298</v>
      </c>
      <c r="B299" t="s">
        <v>369</v>
      </c>
      <c r="C299" t="s">
        <v>359</v>
      </c>
      <c r="D299" s="7">
        <v>42481</v>
      </c>
      <c r="E299" t="s">
        <v>341</v>
      </c>
      <c r="G299" t="str">
        <f t="shared" si="16"/>
        <v>Inf</v>
      </c>
      <c r="H299">
        <v>0.19</v>
      </c>
      <c r="I299">
        <v>3.7999999999999999E-2</v>
      </c>
      <c r="J299">
        <f t="shared" si="17"/>
        <v>0.152</v>
      </c>
      <c r="K299">
        <f t="shared" si="18"/>
        <v>0.22800000000000001</v>
      </c>
      <c r="L299">
        <f t="shared" si="19"/>
        <v>1.9E-2</v>
      </c>
      <c r="M299" t="s">
        <v>360</v>
      </c>
      <c r="N299" t="s">
        <v>361</v>
      </c>
      <c r="O299">
        <v>3</v>
      </c>
      <c r="P299">
        <v>1.9E-2</v>
      </c>
      <c r="Q299" s="46">
        <v>10</v>
      </c>
      <c r="R299">
        <v>2</v>
      </c>
    </row>
    <row r="300" spans="1:18" x14ac:dyDescent="0.25">
      <c r="A300">
        <v>299</v>
      </c>
      <c r="B300" t="s">
        <v>369</v>
      </c>
      <c r="C300" t="s">
        <v>359</v>
      </c>
      <c r="D300" s="7">
        <v>42481</v>
      </c>
      <c r="E300" t="s">
        <v>342</v>
      </c>
      <c r="G300" t="str">
        <f t="shared" si="16"/>
        <v>Inf</v>
      </c>
      <c r="H300">
        <v>8.1999999999999998E-4</v>
      </c>
      <c r="I300">
        <v>5.6000000000000006E-4</v>
      </c>
      <c r="J300">
        <f t="shared" si="17"/>
        <v>2.5999999999999992E-4</v>
      </c>
      <c r="K300">
        <f t="shared" si="18"/>
        <v>1.3800000000000002E-3</v>
      </c>
      <c r="L300">
        <f t="shared" si="19"/>
        <v>2.8000000000000003E-4</v>
      </c>
      <c r="M300" t="s">
        <v>360</v>
      </c>
      <c r="N300" t="s">
        <v>361</v>
      </c>
      <c r="O300">
        <v>3</v>
      </c>
      <c r="P300">
        <v>2.8000000000000003E-4</v>
      </c>
      <c r="Q300" s="46">
        <v>34</v>
      </c>
      <c r="R300">
        <v>2</v>
      </c>
    </row>
    <row r="301" spans="1:18" x14ac:dyDescent="0.25">
      <c r="A301">
        <v>300</v>
      </c>
      <c r="B301" t="s">
        <v>369</v>
      </c>
      <c r="C301" t="s">
        <v>359</v>
      </c>
      <c r="D301" s="7">
        <v>42481</v>
      </c>
      <c r="E301" t="s">
        <v>343</v>
      </c>
      <c r="G301" t="str">
        <f t="shared" si="16"/>
        <v>Inf</v>
      </c>
      <c r="H301">
        <v>6.3000000000000003E-4</v>
      </c>
      <c r="I301">
        <v>1.84E-4</v>
      </c>
      <c r="J301">
        <f t="shared" si="17"/>
        <v>4.46E-4</v>
      </c>
      <c r="K301">
        <f t="shared" si="18"/>
        <v>8.1400000000000005E-4</v>
      </c>
      <c r="L301">
        <f t="shared" si="19"/>
        <v>9.2E-5</v>
      </c>
      <c r="M301" t="s">
        <v>360</v>
      </c>
      <c r="N301" t="s">
        <v>361</v>
      </c>
      <c r="O301">
        <v>3</v>
      </c>
      <c r="P301">
        <v>9.2E-5</v>
      </c>
      <c r="Q301" s="46">
        <v>15</v>
      </c>
      <c r="R301">
        <v>2</v>
      </c>
    </row>
    <row r="302" spans="1:18" x14ac:dyDescent="0.25">
      <c r="A302">
        <v>301</v>
      </c>
      <c r="B302" t="s">
        <v>369</v>
      </c>
      <c r="C302" t="s">
        <v>359</v>
      </c>
      <c r="D302" s="7">
        <v>42481</v>
      </c>
      <c r="E302" t="s">
        <v>408</v>
      </c>
      <c r="G302" t="str">
        <f t="shared" si="16"/>
        <v>Inf</v>
      </c>
      <c r="H302">
        <v>5.0999999999999995E-3</v>
      </c>
      <c r="I302">
        <v>7.6000000000000004E-4</v>
      </c>
      <c r="J302">
        <f t="shared" si="17"/>
        <v>4.3399999999999992E-3</v>
      </c>
      <c r="K302">
        <f t="shared" si="18"/>
        <v>5.8599999999999998E-3</v>
      </c>
      <c r="L302">
        <f t="shared" si="19"/>
        <v>3.8000000000000002E-4</v>
      </c>
      <c r="M302" t="s">
        <v>360</v>
      </c>
      <c r="N302" t="s">
        <v>361</v>
      </c>
      <c r="O302">
        <v>3</v>
      </c>
      <c r="P302">
        <v>3.8000000000000002E-4</v>
      </c>
      <c r="Q302" s="46">
        <v>7</v>
      </c>
      <c r="R302">
        <v>2</v>
      </c>
    </row>
    <row r="303" spans="1:18" x14ac:dyDescent="0.25">
      <c r="A303">
        <v>302</v>
      </c>
      <c r="B303" t="s">
        <v>369</v>
      </c>
      <c r="C303" t="s">
        <v>359</v>
      </c>
      <c r="D303" s="7">
        <v>42481</v>
      </c>
      <c r="E303" t="s">
        <v>409</v>
      </c>
      <c r="G303" t="str">
        <f t="shared" si="16"/>
        <v>Inf</v>
      </c>
      <c r="H303">
        <v>6.9000000000000008E-3</v>
      </c>
      <c r="I303">
        <v>4.0000000000000001E-3</v>
      </c>
      <c r="J303">
        <f t="shared" si="17"/>
        <v>2.9000000000000007E-3</v>
      </c>
      <c r="K303">
        <f t="shared" si="18"/>
        <v>1.09E-2</v>
      </c>
      <c r="L303">
        <f t="shared" si="19"/>
        <v>2E-3</v>
      </c>
      <c r="M303" t="s">
        <v>360</v>
      </c>
      <c r="N303" t="s">
        <v>361</v>
      </c>
      <c r="O303">
        <v>3</v>
      </c>
      <c r="P303">
        <v>2E-3</v>
      </c>
      <c r="Q303" s="46">
        <v>28</v>
      </c>
      <c r="R303">
        <v>2</v>
      </c>
    </row>
    <row r="304" spans="1:18" x14ac:dyDescent="0.25">
      <c r="A304">
        <v>303</v>
      </c>
      <c r="B304" t="s">
        <v>369</v>
      </c>
      <c r="C304" t="s">
        <v>359</v>
      </c>
      <c r="D304" s="7">
        <v>42481</v>
      </c>
      <c r="E304" t="s">
        <v>344</v>
      </c>
      <c r="G304" t="str">
        <f t="shared" si="16"/>
        <v>Inf</v>
      </c>
      <c r="H304">
        <v>2.3000000000000001E-4</v>
      </c>
      <c r="I304">
        <v>1.06E-4</v>
      </c>
      <c r="J304">
        <f t="shared" si="17"/>
        <v>1.2400000000000001E-4</v>
      </c>
      <c r="K304">
        <f t="shared" si="18"/>
        <v>3.3600000000000004E-4</v>
      </c>
      <c r="L304">
        <f t="shared" si="19"/>
        <v>5.3000000000000001E-5</v>
      </c>
      <c r="M304" t="s">
        <v>360</v>
      </c>
      <c r="N304" t="s">
        <v>361</v>
      </c>
      <c r="O304">
        <v>3</v>
      </c>
      <c r="P304">
        <v>5.3000000000000001E-5</v>
      </c>
      <c r="Q304" s="46">
        <v>23</v>
      </c>
      <c r="R304">
        <v>2</v>
      </c>
    </row>
    <row r="305" spans="1:18" x14ac:dyDescent="0.25">
      <c r="A305">
        <v>304</v>
      </c>
      <c r="B305" t="s">
        <v>369</v>
      </c>
      <c r="C305" t="s">
        <v>359</v>
      </c>
      <c r="D305" s="7">
        <v>42481</v>
      </c>
      <c r="E305" t="s">
        <v>345</v>
      </c>
      <c r="G305" t="str">
        <f t="shared" si="16"/>
        <v>Inf</v>
      </c>
      <c r="H305">
        <v>5.4000000000000001E-4</v>
      </c>
      <c r="I305">
        <v>1.12E-4</v>
      </c>
      <c r="J305">
        <f t="shared" si="17"/>
        <v>4.28E-4</v>
      </c>
      <c r="K305">
        <f t="shared" si="18"/>
        <v>6.5200000000000002E-4</v>
      </c>
      <c r="L305">
        <f t="shared" si="19"/>
        <v>5.5999999999999999E-5</v>
      </c>
      <c r="M305" t="s">
        <v>360</v>
      </c>
      <c r="N305" t="s">
        <v>361</v>
      </c>
      <c r="O305">
        <v>3</v>
      </c>
      <c r="P305">
        <v>5.5999999999999999E-5</v>
      </c>
      <c r="Q305" s="46">
        <v>10</v>
      </c>
      <c r="R305">
        <v>2</v>
      </c>
    </row>
    <row r="306" spans="1:18" x14ac:dyDescent="0.25">
      <c r="A306">
        <v>305</v>
      </c>
      <c r="B306" t="s">
        <v>369</v>
      </c>
      <c r="C306" t="s">
        <v>359</v>
      </c>
      <c r="D306" s="7">
        <v>42481</v>
      </c>
      <c r="E306" t="s">
        <v>346</v>
      </c>
      <c r="G306" t="str">
        <f t="shared" si="16"/>
        <v>Inf</v>
      </c>
      <c r="H306">
        <v>1.3000000000000002E-3</v>
      </c>
      <c r="I306">
        <v>2.2000000000000001E-4</v>
      </c>
      <c r="J306">
        <f t="shared" si="17"/>
        <v>1.0800000000000002E-3</v>
      </c>
      <c r="K306">
        <f t="shared" si="18"/>
        <v>1.5200000000000001E-3</v>
      </c>
      <c r="L306">
        <f t="shared" si="19"/>
        <v>1.1E-4</v>
      </c>
      <c r="M306" t="s">
        <v>360</v>
      </c>
      <c r="N306" t="s">
        <v>361</v>
      </c>
      <c r="O306">
        <v>4</v>
      </c>
      <c r="P306">
        <v>1.1E-4</v>
      </c>
      <c r="Q306" s="46">
        <v>8</v>
      </c>
      <c r="R306">
        <v>2</v>
      </c>
    </row>
    <row r="307" spans="1:18" x14ac:dyDescent="0.25">
      <c r="A307">
        <v>306</v>
      </c>
      <c r="B307" t="s">
        <v>369</v>
      </c>
      <c r="C307" t="s">
        <v>359</v>
      </c>
      <c r="D307" s="7">
        <v>42481</v>
      </c>
      <c r="E307" t="s">
        <v>347</v>
      </c>
      <c r="G307" t="str">
        <f t="shared" si="16"/>
        <v>Inf</v>
      </c>
      <c r="H307">
        <v>8.1999999999999998E-4</v>
      </c>
      <c r="I307">
        <v>7.2000000000000002E-5</v>
      </c>
      <c r="J307">
        <f t="shared" si="17"/>
        <v>7.4799999999999997E-4</v>
      </c>
      <c r="K307">
        <f t="shared" si="18"/>
        <v>8.92E-4</v>
      </c>
      <c r="L307">
        <f t="shared" si="19"/>
        <v>3.6000000000000001E-5</v>
      </c>
      <c r="M307" t="s">
        <v>360</v>
      </c>
      <c r="N307" t="s">
        <v>361</v>
      </c>
      <c r="O307">
        <v>3</v>
      </c>
      <c r="P307">
        <v>3.6000000000000001E-5</v>
      </c>
      <c r="Q307" s="46">
        <v>4</v>
      </c>
      <c r="R307">
        <v>2</v>
      </c>
    </row>
    <row r="308" spans="1:18" x14ac:dyDescent="0.25">
      <c r="A308">
        <v>307</v>
      </c>
      <c r="B308" t="s">
        <v>369</v>
      </c>
      <c r="C308" t="s">
        <v>359</v>
      </c>
      <c r="D308" s="7">
        <v>42481</v>
      </c>
      <c r="E308" t="s">
        <v>348</v>
      </c>
      <c r="G308" t="str">
        <f t="shared" si="16"/>
        <v>Inf</v>
      </c>
      <c r="H308">
        <v>2.8000000000000003E-4</v>
      </c>
      <c r="I308">
        <v>1.3800000000000002E-4</v>
      </c>
      <c r="J308">
        <f t="shared" si="17"/>
        <v>1.4200000000000001E-4</v>
      </c>
      <c r="K308">
        <f t="shared" si="18"/>
        <v>4.1800000000000008E-4</v>
      </c>
      <c r="L308">
        <f t="shared" si="19"/>
        <v>6.900000000000001E-5</v>
      </c>
      <c r="M308" t="s">
        <v>360</v>
      </c>
      <c r="N308" t="s">
        <v>361</v>
      </c>
      <c r="O308">
        <v>3</v>
      </c>
      <c r="P308">
        <v>6.900000000000001E-5</v>
      </c>
      <c r="Q308" s="46">
        <v>25</v>
      </c>
      <c r="R308">
        <v>2</v>
      </c>
    </row>
    <row r="309" spans="1:18" x14ac:dyDescent="0.25">
      <c r="A309">
        <v>308</v>
      </c>
      <c r="B309" t="s">
        <v>369</v>
      </c>
      <c r="C309" t="s">
        <v>359</v>
      </c>
      <c r="D309" s="7">
        <v>42481</v>
      </c>
      <c r="E309" t="s">
        <v>349</v>
      </c>
      <c r="G309" t="str">
        <f t="shared" si="16"/>
        <v>Inf</v>
      </c>
      <c r="H309">
        <v>2.1000000000000003E-3</v>
      </c>
      <c r="I309">
        <v>1.0600000000000002E-3</v>
      </c>
      <c r="J309">
        <f t="shared" si="17"/>
        <v>1.0400000000000001E-3</v>
      </c>
      <c r="K309">
        <f t="shared" si="18"/>
        <v>3.1600000000000005E-3</v>
      </c>
      <c r="L309">
        <f t="shared" si="19"/>
        <v>5.3000000000000009E-4</v>
      </c>
      <c r="M309" t="s">
        <v>360</v>
      </c>
      <c r="N309" t="s">
        <v>361</v>
      </c>
      <c r="O309">
        <v>3</v>
      </c>
      <c r="P309">
        <v>5.3000000000000009E-4</v>
      </c>
      <c r="Q309" s="46">
        <v>25</v>
      </c>
      <c r="R309">
        <v>2</v>
      </c>
    </row>
    <row r="310" spans="1:18" x14ac:dyDescent="0.25">
      <c r="A310">
        <v>309</v>
      </c>
      <c r="B310" t="s">
        <v>369</v>
      </c>
      <c r="C310" t="s">
        <v>359</v>
      </c>
      <c r="D310" s="7">
        <v>42481</v>
      </c>
      <c r="E310" t="s">
        <v>350</v>
      </c>
      <c r="G310" t="str">
        <f t="shared" si="16"/>
        <v>Inf</v>
      </c>
      <c r="H310">
        <v>8.1999999999999998E-4</v>
      </c>
      <c r="I310">
        <v>5.6000000000000006E-4</v>
      </c>
      <c r="J310">
        <f t="shared" si="17"/>
        <v>2.5999999999999992E-4</v>
      </c>
      <c r="K310">
        <f t="shared" si="18"/>
        <v>1.3800000000000002E-3</v>
      </c>
      <c r="L310">
        <f t="shared" si="19"/>
        <v>2.8000000000000003E-4</v>
      </c>
      <c r="M310" t="s">
        <v>360</v>
      </c>
      <c r="N310" t="s">
        <v>361</v>
      </c>
      <c r="O310">
        <v>3</v>
      </c>
      <c r="P310">
        <v>2.8000000000000003E-4</v>
      </c>
      <c r="Q310" s="46">
        <v>34</v>
      </c>
      <c r="R310">
        <v>2</v>
      </c>
    </row>
    <row r="311" spans="1:18" x14ac:dyDescent="0.25">
      <c r="A311">
        <v>310</v>
      </c>
      <c r="B311" t="s">
        <v>369</v>
      </c>
      <c r="C311" t="s">
        <v>359</v>
      </c>
      <c r="D311" s="7">
        <v>42481</v>
      </c>
      <c r="E311" t="s">
        <v>351</v>
      </c>
      <c r="G311" t="str">
        <f t="shared" si="16"/>
        <v>Inf</v>
      </c>
      <c r="H311">
        <v>8.4999999999999995E-4</v>
      </c>
      <c r="I311">
        <v>3.1999999999999999E-5</v>
      </c>
      <c r="J311">
        <f t="shared" si="17"/>
        <v>8.1799999999999993E-4</v>
      </c>
      <c r="K311">
        <f t="shared" si="18"/>
        <v>8.8199999999999997E-4</v>
      </c>
      <c r="L311">
        <f t="shared" si="19"/>
        <v>1.5999999999999999E-5</v>
      </c>
      <c r="M311" t="s">
        <v>360</v>
      </c>
      <c r="N311" t="s">
        <v>361</v>
      </c>
      <c r="O311">
        <v>4</v>
      </c>
      <c r="P311">
        <v>1.5999999999999999E-5</v>
      </c>
      <c r="Q311" s="46">
        <v>2</v>
      </c>
      <c r="R311">
        <v>2</v>
      </c>
    </row>
    <row r="312" spans="1:18" x14ac:dyDescent="0.25">
      <c r="A312">
        <v>311</v>
      </c>
      <c r="B312" t="s">
        <v>369</v>
      </c>
      <c r="C312" t="s">
        <v>359</v>
      </c>
      <c r="D312" s="7">
        <v>42481</v>
      </c>
      <c r="E312" t="s">
        <v>352</v>
      </c>
      <c r="G312" t="str">
        <f t="shared" si="16"/>
        <v>Inf</v>
      </c>
      <c r="H312">
        <v>9.7999999999999997E-4</v>
      </c>
      <c r="I312">
        <v>4.4000000000000002E-4</v>
      </c>
      <c r="J312">
        <f t="shared" si="17"/>
        <v>5.399999999999999E-4</v>
      </c>
      <c r="K312">
        <f t="shared" si="18"/>
        <v>1.42E-3</v>
      </c>
      <c r="L312">
        <f t="shared" si="19"/>
        <v>2.2000000000000001E-4</v>
      </c>
      <c r="M312" t="s">
        <v>360</v>
      </c>
      <c r="N312" t="s">
        <v>361</v>
      </c>
      <c r="O312">
        <v>4</v>
      </c>
      <c r="P312">
        <v>2.2000000000000001E-4</v>
      </c>
      <c r="Q312" s="46">
        <v>22</v>
      </c>
      <c r="R312">
        <v>2</v>
      </c>
    </row>
    <row r="313" spans="1:18" x14ac:dyDescent="0.25">
      <c r="A313">
        <v>312</v>
      </c>
      <c r="B313" t="s">
        <v>369</v>
      </c>
      <c r="C313" t="s">
        <v>359</v>
      </c>
      <c r="D313" s="7">
        <v>42481</v>
      </c>
      <c r="E313" t="s">
        <v>353</v>
      </c>
      <c r="G313" t="str">
        <f t="shared" si="16"/>
        <v>Inf</v>
      </c>
      <c r="H313">
        <v>3.8000000000000002E-4</v>
      </c>
      <c r="I313">
        <v>1.8599999999999999E-4</v>
      </c>
      <c r="J313">
        <f t="shared" si="17"/>
        <v>1.9400000000000003E-4</v>
      </c>
      <c r="K313">
        <f t="shared" si="18"/>
        <v>5.6599999999999999E-4</v>
      </c>
      <c r="L313">
        <f t="shared" si="19"/>
        <v>9.2999999999999997E-5</v>
      </c>
      <c r="M313" t="s">
        <v>360</v>
      </c>
      <c r="N313" t="s">
        <v>361</v>
      </c>
      <c r="O313">
        <v>3</v>
      </c>
      <c r="P313">
        <v>9.2999999999999997E-5</v>
      </c>
      <c r="Q313" s="46">
        <v>24</v>
      </c>
      <c r="R313">
        <v>2</v>
      </c>
    </row>
    <row r="314" spans="1:18" x14ac:dyDescent="0.25">
      <c r="A314">
        <v>313</v>
      </c>
      <c r="B314" t="s">
        <v>369</v>
      </c>
      <c r="C314" t="s">
        <v>359</v>
      </c>
      <c r="D314" s="7">
        <v>42481</v>
      </c>
      <c r="E314" t="s">
        <v>354</v>
      </c>
      <c r="G314" t="str">
        <f t="shared" si="16"/>
        <v>Inf</v>
      </c>
      <c r="H314">
        <v>6.7000000000000002E-3</v>
      </c>
      <c r="I314">
        <v>8.8000000000000003E-4</v>
      </c>
      <c r="J314">
        <f t="shared" si="17"/>
        <v>5.8200000000000005E-3</v>
      </c>
      <c r="K314">
        <f t="shared" si="18"/>
        <v>7.5799999999999999E-3</v>
      </c>
      <c r="L314">
        <f t="shared" si="19"/>
        <v>4.4000000000000002E-4</v>
      </c>
      <c r="M314" t="s">
        <v>360</v>
      </c>
      <c r="N314" t="s">
        <v>361</v>
      </c>
      <c r="O314">
        <v>3</v>
      </c>
      <c r="P314">
        <v>4.4000000000000002E-4</v>
      </c>
      <c r="Q314" s="46">
        <v>7</v>
      </c>
      <c r="R314">
        <v>2</v>
      </c>
    </row>
    <row r="315" spans="1:18" x14ac:dyDescent="0.25">
      <c r="A315">
        <v>314</v>
      </c>
      <c r="B315" t="s">
        <v>369</v>
      </c>
      <c r="C315" t="s">
        <v>359</v>
      </c>
      <c r="D315" s="7">
        <v>42481</v>
      </c>
      <c r="E315" t="s">
        <v>355</v>
      </c>
      <c r="G315" t="str">
        <f t="shared" si="16"/>
        <v>Inf</v>
      </c>
      <c r="H315">
        <v>4.2999999999999999E-4</v>
      </c>
      <c r="I315">
        <v>1.74E-4</v>
      </c>
      <c r="J315">
        <f t="shared" si="17"/>
        <v>2.5599999999999999E-4</v>
      </c>
      <c r="K315">
        <f t="shared" si="18"/>
        <v>6.0399999999999994E-4</v>
      </c>
      <c r="L315">
        <f t="shared" si="19"/>
        <v>8.7000000000000001E-5</v>
      </c>
      <c r="M315" t="s">
        <v>360</v>
      </c>
      <c r="N315" t="s">
        <v>361</v>
      </c>
      <c r="O315">
        <v>4</v>
      </c>
      <c r="P315">
        <v>8.7000000000000001E-5</v>
      </c>
      <c r="Q315" s="46">
        <v>20</v>
      </c>
      <c r="R315">
        <v>2</v>
      </c>
    </row>
    <row r="316" spans="1:18" x14ac:dyDescent="0.25">
      <c r="A316">
        <v>315</v>
      </c>
      <c r="B316" t="s">
        <v>369</v>
      </c>
      <c r="C316" t="s">
        <v>359</v>
      </c>
      <c r="D316" s="7">
        <v>42481</v>
      </c>
      <c r="E316" t="s">
        <v>356</v>
      </c>
      <c r="G316" t="str">
        <f t="shared" si="16"/>
        <v>Inf</v>
      </c>
      <c r="H316">
        <v>8.4999999999999995E-4</v>
      </c>
      <c r="I316">
        <v>1.64E-4</v>
      </c>
      <c r="J316">
        <f t="shared" si="17"/>
        <v>6.8599999999999998E-4</v>
      </c>
      <c r="K316">
        <f t="shared" si="18"/>
        <v>1.0139999999999999E-3</v>
      </c>
      <c r="L316">
        <f t="shared" si="19"/>
        <v>8.2000000000000001E-5</v>
      </c>
      <c r="M316" t="s">
        <v>360</v>
      </c>
      <c r="N316" t="s">
        <v>361</v>
      </c>
      <c r="O316">
        <v>4</v>
      </c>
      <c r="P316">
        <v>8.2000000000000001E-5</v>
      </c>
      <c r="Q316" s="46">
        <v>10</v>
      </c>
      <c r="R316">
        <v>2</v>
      </c>
    </row>
    <row r="317" spans="1:18" x14ac:dyDescent="0.25">
      <c r="A317">
        <v>316</v>
      </c>
      <c r="B317" t="s">
        <v>369</v>
      </c>
      <c r="C317" t="s">
        <v>359</v>
      </c>
      <c r="D317" s="7">
        <v>42481</v>
      </c>
      <c r="E317" t="s">
        <v>357</v>
      </c>
      <c r="G317" t="str">
        <f t="shared" si="16"/>
        <v>Inf</v>
      </c>
      <c r="H317">
        <v>0.01</v>
      </c>
      <c r="I317">
        <v>5.2000000000000006E-3</v>
      </c>
      <c r="J317">
        <f t="shared" si="17"/>
        <v>4.7999999999999996E-3</v>
      </c>
      <c r="K317">
        <f t="shared" si="18"/>
        <v>1.5200000000000002E-2</v>
      </c>
      <c r="L317">
        <f t="shared" si="19"/>
        <v>2.6000000000000003E-3</v>
      </c>
      <c r="M317" t="s">
        <v>360</v>
      </c>
      <c r="N317" t="s">
        <v>361</v>
      </c>
      <c r="O317">
        <v>3</v>
      </c>
      <c r="P317">
        <v>2.6000000000000003E-3</v>
      </c>
      <c r="Q317" s="46">
        <v>25</v>
      </c>
      <c r="R317">
        <v>2</v>
      </c>
    </row>
    <row r="318" spans="1:18" x14ac:dyDescent="0.25">
      <c r="A318">
        <v>317</v>
      </c>
      <c r="B318" t="s">
        <v>369</v>
      </c>
      <c r="C318" t="s">
        <v>359</v>
      </c>
      <c r="D318" s="7">
        <v>42481</v>
      </c>
      <c r="E318" t="s">
        <v>410</v>
      </c>
      <c r="G318" t="str">
        <f t="shared" si="16"/>
        <v>Inf</v>
      </c>
      <c r="H318">
        <v>7.3000000000000001E-3</v>
      </c>
      <c r="I318">
        <v>2.6000000000000003E-3</v>
      </c>
      <c r="J318">
        <f t="shared" si="17"/>
        <v>4.6999999999999993E-3</v>
      </c>
      <c r="K318">
        <f t="shared" si="18"/>
        <v>9.9000000000000008E-3</v>
      </c>
      <c r="L318">
        <f t="shared" si="19"/>
        <v>1.3000000000000002E-3</v>
      </c>
      <c r="M318" t="s">
        <v>360</v>
      </c>
      <c r="N318" t="s">
        <v>361</v>
      </c>
      <c r="O318">
        <v>3</v>
      </c>
      <c r="P318">
        <v>1.3000000000000002E-3</v>
      </c>
      <c r="Q318" s="46">
        <v>18</v>
      </c>
      <c r="R318">
        <v>2</v>
      </c>
    </row>
    <row r="319" spans="1:18" x14ac:dyDescent="0.25">
      <c r="A319">
        <v>318</v>
      </c>
      <c r="B319" t="s">
        <v>369</v>
      </c>
      <c r="C319" t="s">
        <v>359</v>
      </c>
      <c r="D319" s="7">
        <v>42481</v>
      </c>
      <c r="E319" t="s">
        <v>358</v>
      </c>
      <c r="G319" t="str">
        <f t="shared" si="16"/>
        <v>Inf</v>
      </c>
      <c r="H319">
        <v>3.5000000000000004E-5</v>
      </c>
      <c r="I319">
        <v>2.8E-5</v>
      </c>
      <c r="J319">
        <f t="shared" si="17"/>
        <v>7.0000000000000041E-6</v>
      </c>
      <c r="K319">
        <f t="shared" si="18"/>
        <v>6.3E-5</v>
      </c>
      <c r="L319">
        <f t="shared" si="19"/>
        <v>1.4E-5</v>
      </c>
      <c r="M319" t="s">
        <v>360</v>
      </c>
      <c r="N319" t="s">
        <v>361</v>
      </c>
      <c r="O319">
        <v>4</v>
      </c>
      <c r="P319">
        <v>1.4E-5</v>
      </c>
      <c r="Q319" s="46">
        <v>40</v>
      </c>
      <c r="R319">
        <v>2</v>
      </c>
    </row>
  </sheetData>
  <autoFilter ref="A1:Q319">
    <sortState ref="A2:Q2920">
      <sortCondition ref="E1:E2920"/>
    </sortState>
  </autoFilter>
  <sortState ref="A2:R2897">
    <sortCondition ref="B2:B2897"/>
    <sortCondition ref="E2:E289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55"/>
  <sheetViews>
    <sheetView workbookViewId="0">
      <selection activeCell="D2" sqref="D2:F158"/>
    </sheetView>
  </sheetViews>
  <sheetFormatPr defaultColWidth="9.140625" defaultRowHeight="14.25" x14ac:dyDescent="0.2"/>
  <cols>
    <col min="1" max="1" width="8" style="26" bestFit="1" customWidth="1"/>
    <col min="2" max="3" width="23.140625" style="26" bestFit="1" customWidth="1"/>
    <col min="4" max="11" width="9.140625" style="29"/>
    <col min="12" max="16384" width="9.140625" style="26"/>
  </cols>
  <sheetData>
    <row r="1" spans="1:12" ht="15" x14ac:dyDescent="0.25">
      <c r="D1" s="153" t="s">
        <v>403</v>
      </c>
      <c r="E1" s="153"/>
      <c r="F1" s="153"/>
      <c r="G1" s="153"/>
      <c r="H1" s="153"/>
      <c r="I1" s="153"/>
      <c r="J1" s="153"/>
      <c r="K1" s="153"/>
    </row>
    <row r="2" spans="1:12" s="25" customFormat="1" x14ac:dyDescent="0.2">
      <c r="A2" s="27" t="s">
        <v>367</v>
      </c>
      <c r="B2" s="23" t="s">
        <v>364</v>
      </c>
      <c r="C2" s="27" t="s">
        <v>368</v>
      </c>
      <c r="D2" s="24" t="str">
        <f>'Enter Values'!B2</f>
        <v>S1</v>
      </c>
      <c r="E2" s="24" t="str">
        <f>'Enter Values'!C2</f>
        <v>S2</v>
      </c>
      <c r="F2" s="24" t="str">
        <f>'Enter Values'!D2</f>
        <v>S3</v>
      </c>
      <c r="G2" s="24"/>
      <c r="H2" s="24"/>
      <c r="I2" s="24"/>
      <c r="J2" s="24"/>
      <c r="K2" s="24"/>
      <c r="L2" s="24"/>
    </row>
    <row r="3" spans="1:12" x14ac:dyDescent="0.2">
      <c r="A3" s="26" t="s">
        <v>427</v>
      </c>
      <c r="B3" s="28" t="str">
        <f>'Enter Values'!A3</f>
        <v>PC 36:2</v>
      </c>
      <c r="C3" s="26" t="str">
        <f>IF(ISNUMBER(SEARCH("-",B3)),IF(ISNUMBER(SEARCH("(",B3)),IF(ISNUMBER(SEARCH("/",B3)),CONCATENATE(MID(B3,1,IF(ISNUMBER(SEARCH(" ",B3)),FIND(" ",B3)-1,FIND("(",B3)-1))," ",MID(B3,IF(ISNUMBER(SEARCH("-",B3)),FIND("-",B3)-1),2),SUM(MID(B3,FIND("(",B3)+3,(FIND(":",B3)-(FIND("-",B3)+1))),MID(B3,FIND("/",B3)+1,(FIND(":",B3,FIND("/",B3))-FIND("/",B3)-1))),":",SUM(MID(B3,FIND(":",B3)+1,FIND("/",B3)-(FIND(":",B3)+1)),MID(B3,FIND(":",B3,FIND("/",B3))+1,FIND(")",B3)-FIND(":",B3,FIND("/",B3))-1))," ",MID(B3,(FIND(")",B3)+1),100)),CONCATENATE(MID(B3,1,IF(ISNUMBER(SEARCH(" ",B3)),FIND(" ",B3)-1,FIND("(",B3)-1))," ",MID(B3,IF(ISNUMBER(SEARCH("-",B3)),FIND("-",B3)-1),2),SUM(MID(B3,FIND("(",B3)+3,(FIND(":",B3)-(FIND("-",B3)+1))),MID(B3,FIND("_",B3)+1,(FIND(":",B3,FIND("_",B3))-FIND("_",B3)-1))),":",SUM(MID(B3,FIND(":",B3)+1,FIND("_",B3)-(FIND(":",B3)+1)),MID(B3,FIND(":",B3,FIND("_",B3))+1,FIND(")",B3)-FIND(":",B3,FIND("_",B3))-1))," ",MID(B3,(FIND(")",B3)+1),100))),B3),IF(ISNUMBER(SEARCH("(",B3)),IF(ISNUMBER(SEARCH("/",B3)),CONCATENATE(MID(B3,1,IF(ISNUMBER(SEARCH(" ",B3)),FIND(" ",B3)-1,FIND("(",B3)-1))," ",(SUM(MID(B3,FIND("(",B3)+1,FIND(":",B3)-FIND("(",B3)-1),MID(B3,FIND("/",B3)+1,FIND(":",B3,FIND("/",B3))-FIND("/",B3)-1))),":",SUM(MID(B3,FIND(":",B3)+1,FIND("/",B3)-FIND(":",B3)-1),MID(B3,FIND(":",B3,FIND("/",B3))+1,FIND(")",B3)-FIND(":",B3,FIND("/",B3))-1)),MID(B3,(FIND(")",B3)+1),100)),CONCATENATE(MID(B3,1,IF(ISNUMBER(SEARCH(" ",B3)),FIND(" ",B3)-1,FIND("(",B3)-1))," ",(SUM(MID(B3,FIND("(",B3)+1,FIND(":",B3)-FIND("(",B3)-1),MID(B3,FIND("_",B3)+1,FIND(":",B3,FIND("_",B3))-FIND("_",B3)-1))),":",SUM(MID(B3,FIND(":",B3)+1,FIND("_",B3)-FIND(":",B3)-1),MID(B3,FIND(":",B3,FIND("_",B3))+1,FIND(")",B3)-FIND(":",B3,FIND("_",B3))-1)),MID(B3,(FIND(")",B3)+1),100))),B3))</f>
        <v>PC 36:2</v>
      </c>
      <c r="D3" s="29">
        <f>'Enter Values'!B3</f>
        <v>147.811354708604</v>
      </c>
      <c r="E3" s="29">
        <f>'Enter Values'!C3</f>
        <v>189.67397877901101</v>
      </c>
      <c r="F3" s="29">
        <f>'Enter Values'!D3</f>
        <v>127.57945586544299</v>
      </c>
    </row>
    <row r="4" spans="1:12" x14ac:dyDescent="0.2">
      <c r="A4" s="26" t="s">
        <v>427</v>
      </c>
      <c r="B4" s="28" t="str">
        <f>'Enter Values'!A4</f>
        <v>PC 34:1</v>
      </c>
      <c r="C4" s="26" t="str">
        <f>IF(ISNUMBER(SEARCH("-",B4)),IF(ISNUMBER(SEARCH("(",B4)),IF(ISNUMBER(SEARCH("/",B4)),CONCATENATE(MID(B4,1,IF(ISNUMBER(SEARCH(" ",B4)),FIND(" ",B4)-1,FIND("(",B4)-1))," ",MID(B4,IF(ISNUMBER(SEARCH("-",B4)),FIND("-",B4)-1),2),SUM(MID(B4,FIND("(",B4)+3,(FIND(":",B4)-(FIND("-",B4)+1))),MID(B4,FIND("/",B4)+1,(FIND(":",B4,FIND("/",B4))-FIND("/",B4)-1))),":",SUM(MID(B4,FIND(":",B4)+1,FIND("/",B4)-(FIND(":",B4)+1)),MID(B4,FIND(":",B4,FIND("/",B4))+1,FIND(")",B4)-FIND(":",B4,FIND("/",B4))-1))," ",MID(B4,(FIND(")",B4)+1),100)),CONCATENATE(MID(B4,1,IF(ISNUMBER(SEARCH(" ",B4)),FIND(" ",B4)-1,FIND("(",B4)-1))," ",MID(B4,IF(ISNUMBER(SEARCH("-",B4)),FIND("-",B4)-1),2),SUM(MID(B4,FIND("(",B4)+3,(FIND(":",B4)-(FIND("-",B4)+1))),MID(B4,FIND("_",B4)+1,(FIND(":",B4,FIND("_",B4))-FIND("_",B4)-1))),":",SUM(MID(B4,FIND(":",B4)+1,FIND("_",B4)-(FIND(":",B4)+1)),MID(B4,FIND(":",B4,FIND("_",B4))+1,FIND(")",B4)-FIND(":",B4,FIND("_",B4))-1))," ",MID(B4,(FIND(")",B4)+1),100))),B4),IF(ISNUMBER(SEARCH("(",B4)),IF(ISNUMBER(SEARCH("/",B4)),CONCATENATE(MID(B4,1,IF(ISNUMBER(SEARCH(" ",B4)),FIND(" ",B4)-1,FIND("(",B4)-1))," ",(SUM(MID(B4,FIND("(",B4)+1,FIND(":",B4)-FIND("(",B4)-1),MID(B4,FIND("/",B4)+1,FIND(":",B4,FIND("/",B4))-FIND("/",B4)-1))),":",SUM(MID(B4,FIND(":",B4)+1,FIND("/",B4)-FIND(":",B4)-1),MID(B4,FIND(":",B4,FIND("/",B4))+1,FIND(")",B4)-FIND(":",B4,FIND("/",B4))-1)),MID(B4,(FIND(")",B4)+1),100)),CONCATENATE(MID(B4,1,IF(ISNUMBER(SEARCH(" ",B4)),FIND(" ",B4)-1,FIND("(",B4)-1))," ",(SUM(MID(B4,FIND("(",B4)+1,FIND(":",B4)-FIND("(",B4)-1),MID(B4,FIND("_",B4)+1,FIND(":",B4,FIND("_",B4))-FIND("_",B4)-1))),":",SUM(MID(B4,FIND(":",B4)+1,FIND("_",B4)-FIND(":",B4)-1),MID(B4,FIND(":",B4,FIND("_",B4))+1,FIND(")",B4)-FIND(":",B4,FIND("_",B4))-1)),MID(B4,(FIND(")",B4)+1),100))),B4))</f>
        <v>PC 34:1</v>
      </c>
      <c r="D4" s="29">
        <f>'Enter Values'!B4</f>
        <v>118.00905285128199</v>
      </c>
      <c r="E4" s="29">
        <f>'Enter Values'!C4</f>
        <v>149.68117815924501</v>
      </c>
      <c r="F4" s="29">
        <f>'Enter Values'!D4</f>
        <v>99.653982388018505</v>
      </c>
    </row>
    <row r="5" spans="1:12" x14ac:dyDescent="0.2">
      <c r="A5" s="26" t="s">
        <v>427</v>
      </c>
      <c r="B5" s="28" t="str">
        <f>'Enter Values'!A5</f>
        <v>PC 36:4</v>
      </c>
      <c r="C5" s="26" t="str">
        <f>IF(ISNUMBER(SEARCH("-",B5)),IF(ISNUMBER(SEARCH("(",B5)),IF(ISNUMBER(SEARCH("/",B5)),CONCATENATE(MID(B5,1,IF(ISNUMBER(SEARCH(" ",B5)),FIND(" ",B5)-1,FIND("(",B5)-1))," ",MID(B5,IF(ISNUMBER(SEARCH("-",B5)),FIND("-",B5)-1),2),SUM(MID(B5,FIND("(",B5)+3,(FIND(":",B5)-(FIND("-",B5)+1))),MID(B5,FIND("/",B5)+1,(FIND(":",B5,FIND("/",B5))-FIND("/",B5)-1))),":",SUM(MID(B5,FIND(":",B5)+1,FIND("/",B5)-(FIND(":",B5)+1)),MID(B5,FIND(":",B5,FIND("/",B5))+1,FIND(")",B5)-FIND(":",B5,FIND("/",B5))-1))," ",MID(B5,(FIND(")",B5)+1),100)),CONCATENATE(MID(B5,1,IF(ISNUMBER(SEARCH(" ",B5)),FIND(" ",B5)-1,FIND("(",B5)-1))," ",MID(B5,IF(ISNUMBER(SEARCH("-",B5)),FIND("-",B5)-1),2),SUM(MID(B5,FIND("(",B5)+3,(FIND(":",B5)-(FIND("-",B5)+1))),MID(B5,FIND("_",B5)+1,(FIND(":",B5,FIND("_",B5))-FIND("_",B5)-1))),":",SUM(MID(B5,FIND(":",B5)+1,FIND("_",B5)-(FIND(":",B5)+1)),MID(B5,FIND(":",B5,FIND("_",B5))+1,FIND(")",B5)-FIND(":",B5,FIND("_",B5))-1))," ",MID(B5,(FIND(")",B5)+1),100))),B5),IF(ISNUMBER(SEARCH("(",B5)),IF(ISNUMBER(SEARCH("/",B5)),CONCATENATE(MID(B5,1,IF(ISNUMBER(SEARCH(" ",B5)),FIND(" ",B5)-1,FIND("(",B5)-1))," ",(SUM(MID(B5,FIND("(",B5)+1,FIND(":",B5)-FIND("(",B5)-1),MID(B5,FIND("/",B5)+1,FIND(":",B5,FIND("/",B5))-FIND("/",B5)-1))),":",SUM(MID(B5,FIND(":",B5)+1,FIND("/",B5)-FIND(":",B5)-1),MID(B5,FIND(":",B5,FIND("/",B5))+1,FIND(")",B5)-FIND(":",B5,FIND("/",B5))-1)),MID(B5,(FIND(")",B5)+1),100)),CONCATENATE(MID(B5,1,IF(ISNUMBER(SEARCH(" ",B5)),FIND(" ",B5)-1,FIND("(",B5)-1))," ",(SUM(MID(B5,FIND("(",B5)+1,FIND(":",B5)-FIND("(",B5)-1),MID(B5,FIND("_",B5)+1,FIND(":",B5,FIND("_",B5))-FIND("_",B5)-1))),":",SUM(MID(B5,FIND(":",B5)+1,FIND("_",B5)-FIND(":",B5)-1),MID(B5,FIND(":",B5,FIND("_",B5))+1,FIND(")",B5)-FIND(":",B5,FIND("_",B5))-1)),MID(B5,(FIND(")",B5)+1),100))),B5))</f>
        <v>PC 36:4</v>
      </c>
      <c r="D5" s="29">
        <f>'Enter Values'!B5</f>
        <v>73.649664919071398</v>
      </c>
      <c r="E5" s="29">
        <f>'Enter Values'!C5</f>
        <v>90.1527713787669</v>
      </c>
      <c r="F5" s="29">
        <f>'Enter Values'!D5</f>
        <v>61.6613522025363</v>
      </c>
    </row>
    <row r="6" spans="1:12" x14ac:dyDescent="0.2">
      <c r="A6" s="26" t="s">
        <v>427</v>
      </c>
      <c r="B6" s="28" t="str">
        <f>'Enter Values'!A6</f>
        <v>PC 38:4</v>
      </c>
      <c r="C6" s="26" t="str">
        <f>IF(ISNUMBER(SEARCH("-",B6)),IF(ISNUMBER(SEARCH("(",B6)),IF(ISNUMBER(SEARCH("/",B6)),CONCATENATE(MID(B6,1,IF(ISNUMBER(SEARCH(" ",B6)),FIND(" ",B6)-1,FIND("(",B6)-1))," ",MID(B6,IF(ISNUMBER(SEARCH("-",B6)),FIND("-",B6)-1),2),SUM(MID(B6,FIND("(",B6)+3,(FIND(":",B6)-(FIND("-",B6)+1))),MID(B6,FIND("/",B6)+1,(FIND(":",B6,FIND("/",B6))-FIND("/",B6)-1))),":",SUM(MID(B6,FIND(":",B6)+1,FIND("/",B6)-(FIND(":",B6)+1)),MID(B6,FIND(":",B6,FIND("/",B6))+1,FIND(")",B6)-FIND(":",B6,FIND("/",B6))-1))," ",MID(B6,(FIND(")",B6)+1),100)),CONCATENATE(MID(B6,1,IF(ISNUMBER(SEARCH(" ",B6)),FIND(" ",B6)-1,FIND("(",B6)-1))," ",MID(B6,IF(ISNUMBER(SEARCH("-",B6)),FIND("-",B6)-1),2),SUM(MID(B6,FIND("(",B6)+3,(FIND(":",B6)-(FIND("-",B6)+1))),MID(B6,FIND("_",B6)+1,(FIND(":",B6,FIND("_",B6))-FIND("_",B6)-1))),":",SUM(MID(B6,FIND(":",B6)+1,FIND("_",B6)-(FIND(":",B6)+1)),MID(B6,FIND(":",B6,FIND("_",B6))+1,FIND(")",B6)-FIND(":",B6,FIND("_",B6))-1))," ",MID(B6,(FIND(")",B6)+1),100))),B6),IF(ISNUMBER(SEARCH("(",B6)),IF(ISNUMBER(SEARCH("/",B6)),CONCATENATE(MID(B6,1,IF(ISNUMBER(SEARCH(" ",B6)),FIND(" ",B6)-1,FIND("(",B6)-1))," ",(SUM(MID(B6,FIND("(",B6)+1,FIND(":",B6)-FIND("(",B6)-1),MID(B6,FIND("/",B6)+1,FIND(":",B6,FIND("/",B6))-FIND("/",B6)-1))),":",SUM(MID(B6,FIND(":",B6)+1,FIND("/",B6)-FIND(":",B6)-1),MID(B6,FIND(":",B6,FIND("/",B6))+1,FIND(")",B6)-FIND(":",B6,FIND("/",B6))-1)),MID(B6,(FIND(")",B6)+1),100)),CONCATENATE(MID(B6,1,IF(ISNUMBER(SEARCH(" ",B6)),FIND(" ",B6)-1,FIND("(",B6)-1))," ",(SUM(MID(B6,FIND("(",B6)+1,FIND(":",B6)-FIND("(",B6)-1),MID(B6,FIND("_",B6)+1,FIND(":",B6,FIND("_",B6))-FIND("_",B6)-1))),":",SUM(MID(B6,FIND(":",B6)+1,FIND("_",B6)-FIND(":",B6)-1),MID(B6,FIND(":",B6,FIND("_",B6))+1,FIND(")",B6)-FIND(":",B6,FIND("_",B6))-1)),MID(B6,(FIND(")",B6)+1),100))),B6))</f>
        <v>PC 38:4</v>
      </c>
      <c r="D6" s="29">
        <f>'Enter Values'!B6</f>
        <v>67.087907612342207</v>
      </c>
      <c r="E6" s="29">
        <f>'Enter Values'!C6</f>
        <v>81.638091203831706</v>
      </c>
      <c r="F6" s="29">
        <f>'Enter Values'!D6</f>
        <v>57.1604708437875</v>
      </c>
    </row>
    <row r="7" spans="1:12" x14ac:dyDescent="0.2">
      <c r="A7" s="26" t="s">
        <v>427</v>
      </c>
      <c r="B7" s="28" t="str">
        <f>'Enter Values'!A7</f>
        <v>PC 36:3</v>
      </c>
      <c r="C7" s="26" t="str">
        <f>IF(ISNUMBER(SEARCH("-",B7)),IF(ISNUMBER(SEARCH("(",B7)),IF(ISNUMBER(SEARCH("/",B7)),CONCATENATE(MID(B7,1,IF(ISNUMBER(SEARCH(" ",B7)),FIND(" ",B7)-1,FIND("(",B7)-1))," ",MID(B7,IF(ISNUMBER(SEARCH("-",B7)),FIND("-",B7)-1),2),SUM(MID(B7,FIND("(",B7)+3,(FIND(":",B7)-(FIND("-",B7)+1))),MID(B7,FIND("/",B7)+1,(FIND(":",B7,FIND("/",B7))-FIND("/",B7)-1))),":",SUM(MID(B7,FIND(":",B7)+1,FIND("/",B7)-(FIND(":",B7)+1)),MID(B7,FIND(":",B7,FIND("/",B7))+1,FIND(")",B7)-FIND(":",B7,FIND("/",B7))-1))," ",MID(B7,(FIND(")",B7)+1),100)),CONCATENATE(MID(B7,1,IF(ISNUMBER(SEARCH(" ",B7)),FIND(" ",B7)-1,FIND("(",B7)-1))," ",MID(B7,IF(ISNUMBER(SEARCH("-",B7)),FIND("-",B7)-1),2),SUM(MID(B7,FIND("(",B7)+3,(FIND(":",B7)-(FIND("-",B7)+1))),MID(B7,FIND("_",B7)+1,(FIND(":",B7,FIND("_",B7))-FIND("_",B7)-1))),":",SUM(MID(B7,FIND(":",B7)+1,FIND("_",B7)-(FIND(":",B7)+1)),MID(B7,FIND(":",B7,FIND("_",B7))+1,FIND(")",B7)-FIND(":",B7,FIND("_",B7))-1))," ",MID(B7,(FIND(")",B7)+1),100))),B7),IF(ISNUMBER(SEARCH("(",B7)),IF(ISNUMBER(SEARCH("/",B7)),CONCATENATE(MID(B7,1,IF(ISNUMBER(SEARCH(" ",B7)),FIND(" ",B7)-1,FIND("(",B7)-1))," ",(SUM(MID(B7,FIND("(",B7)+1,FIND(":",B7)-FIND("(",B7)-1),MID(B7,FIND("/",B7)+1,FIND(":",B7,FIND("/",B7))-FIND("/",B7)-1))),":",SUM(MID(B7,FIND(":",B7)+1,FIND("/",B7)-FIND(":",B7)-1),MID(B7,FIND(":",B7,FIND("/",B7))+1,FIND(")",B7)-FIND(":",B7,FIND("/",B7))-1)),MID(B7,(FIND(")",B7)+1),100)),CONCATENATE(MID(B7,1,IF(ISNUMBER(SEARCH(" ",B7)),FIND(" ",B7)-1,FIND("(",B7)-1))," ",(SUM(MID(B7,FIND("(",B7)+1,FIND(":",B7)-FIND("(",B7)-1),MID(B7,FIND("_",B7)+1,FIND(":",B7,FIND("_",B7))-FIND("_",B7)-1))),":",SUM(MID(B7,FIND(":",B7)+1,FIND("_",B7)-FIND(":",B7)-1),MID(B7,FIND(":",B7,FIND("_",B7))+1,FIND(")",B7)-FIND(":",B7,FIND("_",B7))-1)),MID(B7,(FIND(")",B7)+1),100))),B7))</f>
        <v>PC 36:3</v>
      </c>
      <c r="D7" s="29">
        <f>'Enter Values'!B7</f>
        <v>51.631043555467997</v>
      </c>
      <c r="E7" s="29">
        <f>'Enter Values'!C7</f>
        <v>63.6954839877965</v>
      </c>
      <c r="F7" s="29">
        <f>'Enter Values'!D7</f>
        <v>42.894908205521602</v>
      </c>
    </row>
    <row r="8" spans="1:12" x14ac:dyDescent="0.2">
      <c r="A8" s="26" t="s">
        <v>429</v>
      </c>
      <c r="B8" s="28" t="str">
        <f>'Enter Values'!A8</f>
        <v>SM d34:1</v>
      </c>
      <c r="C8" s="26" t="str">
        <f>IF(ISNUMBER(SEARCH("(",B8)),IF(ISNUMBER(SEARCH("/",B8)),CONCATENATE(MID(B8,1,IF(ISNUMBER(SEARCH(" ",B8)),FIND(" ",B8)-1,FIND("(",B8)-1))," ","d",(SUM(MID(B8,FIND("(",B8)+2,FIND(":",B8)-FIND("(",B8)-2),MID(B8,FIND("/",B8)+1,FIND(":",B8,FIND("/",B8))-FIND("/",B8)-1))),":",SUM(MID(B8,FIND(":",B8)+1,FIND("/",B8)-FIND(":",B8)-1),MID(B8,FIND(":",B8,FIND("/",B8))+1,FIND(")",B8)-FIND(":",B8,FIND("/",B8))-1)),MID(B8,(FIND(")",B8)+1),100)),CONCATENATE(MID(B8,1,IF(ISNUMBER(SEARCH(" ",B8)),FIND(" ",B8)-1,FIND("(",B8)-1))," ","d",(SUM(MID(B8,FIND("(",B8)+2,FIND(":",B8)-FIND("(",B8)-2),MID(B8,FIND("_",B8)+1,FIND(":",B8,FIND("_",B8))-FIND("_",B8)-1))),":",SUM(MID(B8,FIND(":",B8)+1,FIND("_",B8)-FIND(":",B8)-1),MID(B8,FIND(":",B8,FIND("_",B8))+1,FIND(")",B8)-FIND(":",B8,FIND("_",B8))-1)),MID(B8,(FIND(")",B8)+1),100))),CONCATENATE(MID(B8,1,FIND(" ",B8)-1)," ","d",MID(B8,FIND("d",B8)+1,100)))</f>
        <v>SM d34:1</v>
      </c>
      <c r="D8" s="29">
        <f>'Enter Values'!B8</f>
        <v>47.4237580592429</v>
      </c>
      <c r="E8" s="29">
        <f>'Enter Values'!C8</f>
        <v>43.3092377651286</v>
      </c>
      <c r="F8" s="29">
        <f>'Enter Values'!D8</f>
        <v>40.019781140909302</v>
      </c>
    </row>
    <row r="9" spans="1:12" x14ac:dyDescent="0.2">
      <c r="A9" s="26" t="s">
        <v>427</v>
      </c>
      <c r="B9" s="28" t="str">
        <f>'Enter Values'!A9</f>
        <v>PC 36:1</v>
      </c>
      <c r="C9" s="26" t="str">
        <f>IF(ISNUMBER(SEARCH("-",B9)),IF(ISNUMBER(SEARCH("(",B9)),IF(ISNUMBER(SEARCH("/",B9)),CONCATENATE(MID(B9,1,IF(ISNUMBER(SEARCH(" ",B9)),FIND(" ",B9)-1,FIND("(",B9)-1))," ",MID(B9,IF(ISNUMBER(SEARCH("-",B9)),FIND("-",B9)-1),2),SUM(MID(B9,FIND("(",B9)+3,(FIND(":",B9)-(FIND("-",B9)+1))),MID(B9,FIND("/",B9)+1,(FIND(":",B9,FIND("/",B9))-FIND("/",B9)-1))),":",SUM(MID(B9,FIND(":",B9)+1,FIND("/",B9)-(FIND(":",B9)+1)),MID(B9,FIND(":",B9,FIND("/",B9))+1,FIND(")",B9)-FIND(":",B9,FIND("/",B9))-1))," ",MID(B9,(FIND(")",B9)+1),100)),CONCATENATE(MID(B9,1,IF(ISNUMBER(SEARCH(" ",B9)),FIND(" ",B9)-1,FIND("(",B9)-1))," ",MID(B9,IF(ISNUMBER(SEARCH("-",B9)),FIND("-",B9)-1),2),SUM(MID(B9,FIND("(",B9)+3,(FIND(":",B9)-(FIND("-",B9)+1))),MID(B9,FIND("_",B9)+1,(FIND(":",B9,FIND("_",B9))-FIND("_",B9)-1))),":",SUM(MID(B9,FIND(":",B9)+1,FIND("_",B9)-(FIND(":",B9)+1)),MID(B9,FIND(":",B9,FIND("_",B9))+1,FIND(")",B9)-FIND(":",B9,FIND("_",B9))-1))," ",MID(B9,(FIND(")",B9)+1),100))),B9),IF(ISNUMBER(SEARCH("(",B9)),IF(ISNUMBER(SEARCH("/",B9)),CONCATENATE(MID(B9,1,IF(ISNUMBER(SEARCH(" ",B9)),FIND(" ",B9)-1,FIND("(",B9)-1))," ",(SUM(MID(B9,FIND("(",B9)+1,FIND(":",B9)-FIND("(",B9)-1),MID(B9,FIND("/",B9)+1,FIND(":",B9,FIND("/",B9))-FIND("/",B9)-1))),":",SUM(MID(B9,FIND(":",B9)+1,FIND("/",B9)-FIND(":",B9)-1),MID(B9,FIND(":",B9,FIND("/",B9))+1,FIND(")",B9)-FIND(":",B9,FIND("/",B9))-1)),MID(B9,(FIND(")",B9)+1),100)),CONCATENATE(MID(B9,1,IF(ISNUMBER(SEARCH(" ",B9)),FIND(" ",B9)-1,FIND("(",B9)-1))," ",(SUM(MID(B9,FIND("(",B9)+1,FIND(":",B9)-FIND("(",B9)-1),MID(B9,FIND("_",B9)+1,FIND(":",B9,FIND("_",B9))-FIND("_",B9)-1))),":",SUM(MID(B9,FIND(":",B9)+1,FIND("_",B9)-FIND(":",B9)-1),MID(B9,FIND(":",B9,FIND("_",B9))+1,FIND(")",B9)-FIND(":",B9,FIND("_",B9))-1)),MID(B9,(FIND(")",B9)+1),100))),B9))</f>
        <v>PC 36:1</v>
      </c>
      <c r="D9" s="29">
        <f>'Enter Values'!B9</f>
        <v>36.246897602984198</v>
      </c>
      <c r="E9" s="29">
        <f>'Enter Values'!C9</f>
        <v>44.605206737070802</v>
      </c>
      <c r="F9" s="29">
        <f>'Enter Values'!D9</f>
        <v>30.128054340455801</v>
      </c>
    </row>
    <row r="10" spans="1:12" x14ac:dyDescent="0.2">
      <c r="A10" s="26" t="s">
        <v>427</v>
      </c>
      <c r="B10" s="28" t="str">
        <f>'Enter Values'!A10</f>
        <v>PC 38:3</v>
      </c>
      <c r="C10" s="26" t="str">
        <f>IF(ISNUMBER(SEARCH("-",B10)),IF(ISNUMBER(SEARCH("(",B10)),IF(ISNUMBER(SEARCH("/",B10)),CONCATENATE(MID(B10,1,IF(ISNUMBER(SEARCH(" ",B10)),FIND(" ",B10)-1,FIND("(",B10)-1))," ",MID(B10,IF(ISNUMBER(SEARCH("-",B10)),FIND("-",B10)-1),2),SUM(MID(B10,FIND("(",B10)+3,(FIND(":",B10)-(FIND("-",B10)+1))),MID(B10,FIND("/",B10)+1,(FIND(":",B10,FIND("/",B10))-FIND("/",B10)-1))),":",SUM(MID(B10,FIND(":",B10)+1,FIND("/",B10)-(FIND(":",B10)+1)),MID(B10,FIND(":",B10,FIND("/",B10))+1,FIND(")",B10)-FIND(":",B10,FIND("/",B10))-1))," ",MID(B10,(FIND(")",B10)+1),100)),CONCATENATE(MID(B10,1,IF(ISNUMBER(SEARCH(" ",B10)),FIND(" ",B10)-1,FIND("(",B10)-1))," ",MID(B10,IF(ISNUMBER(SEARCH("-",B10)),FIND("-",B10)-1),2),SUM(MID(B10,FIND("(",B10)+3,(FIND(":",B10)-(FIND("-",B10)+1))),MID(B10,FIND("_",B10)+1,(FIND(":",B10,FIND("_",B10))-FIND("_",B10)-1))),":",SUM(MID(B10,FIND(":",B10)+1,FIND("_",B10)-(FIND(":",B10)+1)),MID(B10,FIND(":",B10,FIND("_",B10))+1,FIND(")",B10)-FIND(":",B10,FIND("_",B10))-1))," ",MID(B10,(FIND(")",B10)+1),100))),B10),IF(ISNUMBER(SEARCH("(",B10)),IF(ISNUMBER(SEARCH("/",B10)),CONCATENATE(MID(B10,1,IF(ISNUMBER(SEARCH(" ",B10)),FIND(" ",B10)-1,FIND("(",B10)-1))," ",(SUM(MID(B10,FIND("(",B10)+1,FIND(":",B10)-FIND("(",B10)-1),MID(B10,FIND("/",B10)+1,FIND(":",B10,FIND("/",B10))-FIND("/",B10)-1))),":",SUM(MID(B10,FIND(":",B10)+1,FIND("/",B10)-FIND(":",B10)-1),MID(B10,FIND(":",B10,FIND("/",B10))+1,FIND(")",B10)-FIND(":",B10,FIND("/",B10))-1)),MID(B10,(FIND(")",B10)+1),100)),CONCATENATE(MID(B10,1,IF(ISNUMBER(SEARCH(" ",B10)),FIND(" ",B10)-1,FIND("(",B10)-1))," ",(SUM(MID(B10,FIND("(",B10)+1,FIND(":",B10)-FIND("(",B10)-1),MID(B10,FIND("_",B10)+1,FIND(":",B10,FIND("_",B10))-FIND("_",B10)-1))),":",SUM(MID(B10,FIND(":",B10)+1,FIND("_",B10)-FIND(":",B10)-1),MID(B10,FIND(":",B10,FIND("_",B10))+1,FIND(")",B10)-FIND(":",B10,FIND("_",B10))-1)),MID(B10,(FIND(")",B10)+1),100))),B10))</f>
        <v>PC 38:3</v>
      </c>
      <c r="D10" s="29">
        <f>'Enter Values'!B10</f>
        <v>33.946939279992499</v>
      </c>
      <c r="E10" s="29">
        <f>'Enter Values'!C10</f>
        <v>43.224289171946303</v>
      </c>
      <c r="F10" s="29">
        <f>'Enter Values'!D10</f>
        <v>29.004232727423801</v>
      </c>
    </row>
    <row r="11" spans="1:12" x14ac:dyDescent="0.2">
      <c r="A11" s="26" t="s">
        <v>429</v>
      </c>
      <c r="B11" s="28" t="str">
        <f>'Enter Values'!A11</f>
        <v>SM d42:2</v>
      </c>
      <c r="C11" s="26" t="str">
        <f>IF(ISNUMBER(SEARCH("(",B11)),IF(ISNUMBER(SEARCH("/",B11)),CONCATENATE(MID(B11,1,IF(ISNUMBER(SEARCH(" ",B11)),FIND(" ",B11)-1,FIND("(",B11)-1))," ","d",(SUM(MID(B11,FIND("(",B11)+2,FIND(":",B11)-FIND("(",B11)-2),MID(B11,FIND("/",B11)+1,FIND(":",B11,FIND("/",B11))-FIND("/",B11)-1))),":",SUM(MID(B11,FIND(":",B11)+1,FIND("/",B11)-FIND(":",B11)-1),MID(B11,FIND(":",B11,FIND("/",B11))+1,FIND(")",B11)-FIND(":",B11,FIND("/",B11))-1)),MID(B11,(FIND(")",B11)+1),100)),CONCATENATE(MID(B11,1,IF(ISNUMBER(SEARCH(" ",B11)),FIND(" ",B11)-1,FIND("(",B11)-1))," ","d",(SUM(MID(B11,FIND("(",B11)+2,FIND(":",B11)-FIND("(",B11)-2),MID(B11,FIND("_",B11)+1,FIND(":",B11,FIND("_",B11))-FIND("_",B11)-1))),":",SUM(MID(B11,FIND(":",B11)+1,FIND("_",B11)-FIND(":",B11)-1),MID(B11,FIND(":",B11,FIND("_",B11))+1,FIND(")",B11)-FIND(":",B11,FIND("_",B11))-1)),MID(B11,(FIND(")",B11)+1),100))),CONCATENATE(MID(B11,1,FIND(" ",B11)-1)," ","d",MID(B11,FIND("d",B11)+1,100)))</f>
        <v>SM d42:2</v>
      </c>
      <c r="D11" s="29">
        <f>'Enter Values'!B11</f>
        <v>35.893523683256603</v>
      </c>
      <c r="E11" s="29">
        <f>'Enter Values'!C11</f>
        <v>34.259368715616802</v>
      </c>
      <c r="F11" s="29">
        <f>'Enter Values'!D11</f>
        <v>30.982698748183601</v>
      </c>
    </row>
    <row r="12" spans="1:12" x14ac:dyDescent="0.2">
      <c r="A12" s="26" t="s">
        <v>425</v>
      </c>
      <c r="B12" s="28" t="str">
        <f>'Enter Values'!A12</f>
        <v>LPC 16:0</v>
      </c>
      <c r="C12" s="26" t="str">
        <f>IF(ISNUMBER(SEARCH("-",B12)),IF(ISNUMBER(SEARCH("(",B12)),IF(ISNUMBER(SEARCH("/",B12)),CONCATENATE(MID(B12,1,IF(ISNUMBER(SEARCH(" ",B12)),FIND(" ",B12)-1,FIND("(",B12)-1))," ",MID(B12,IF(ISNUMBER(SEARCH("-",B12)),FIND("-",B12)-1),2),SUM(MID(B12,FIND("(",B12)+3,(FIND(":",B12)-(FIND("-",B12)+1))),MID(B12,FIND("/",B12)+1,(FIND(":",B12,FIND("/",B12))-FIND("/",B12)-1))),":",SUM(MID(B12,FIND(":",B12)+1,FIND("/",B12)-(FIND(":",B12)+1)),MID(B12,FIND(":",B12,FIND("/",B12))+1,FIND(")",B12)-FIND(":",B12,FIND("/",B12))-1))," ",MID(B12,(FIND(")",B12)+1),100)),CONCATENATE(MID(B12,1,IF(ISNUMBER(SEARCH(" ",B12)),FIND(" ",B12)-1,FIND("(",B12)-1))," ",MID(B12,IF(ISNUMBER(SEARCH("-",B12)),FIND("-",B12)-1),2),SUM(MID(B12,FIND("(",B12)+3,(FIND(":",B12)-(FIND("-",B12)+1))),MID(B12,FIND("_",B12)+1,(FIND(":",B12,FIND("_",B12))-FIND("_",B12)-1))),":",SUM(MID(B12,FIND(":",B12)+1,FIND("_",B12)-(FIND(":",B12)+1)),MID(B12,FIND(":",B12,FIND("_",B12))+1,FIND(")",B12)-FIND(":",B12,FIND("_",B12))-1))," ",MID(B12,(FIND(")",B12)+1),100))),B12),IF(ISNUMBER(SEARCH("(",B12)),IF(ISNUMBER(SEARCH("/",B12)),CONCATENATE(MID(B12,1,IF(ISNUMBER(SEARCH(" ",B12)),FIND(" ",B12)-1,FIND("(",B12)-1))," ",(SUM(MID(B12,FIND("(",B12)+1,FIND(":",B12)-FIND("(",B12)-1),MID(B12,FIND("/",B12)+1,FIND(":",B12,FIND("/",B12))-FIND("/",B12)-1))),":",SUM(MID(B12,FIND(":",B12)+1,FIND("/",B12)-FIND(":",B12)-1),MID(B12,FIND(":",B12,FIND("/",B12))+1,FIND(")",B12)-FIND(":",B12,FIND("/",B12))-1)),MID(B12,(FIND(")",B12)+1),100)),CONCATENATE(MID(B12,1,IF(ISNUMBER(SEARCH(" ",B12)),FIND(" ",B12)-1,FIND("(",B12)-1))," ",(SUM(MID(B12,FIND("(",B12)+1,FIND(":",B12)-FIND("(",B12)-1),MID(B12,FIND("_",B12)+1,FIND(":",B12,FIND("_",B12))-FIND("_",B12)-1))),":",SUM(MID(B12,FIND(":",B12)+1,FIND("_",B12)-FIND(":",B12)-1),MID(B12,FIND(":",B12,FIND("_",B12))+1,FIND(")",B12)-FIND(":",B12,FIND("_",B12))-1)),MID(B12,(FIND(")",B12)+1),100))),B12))</f>
        <v>LPC 16:0</v>
      </c>
      <c r="D12" s="29">
        <f>'Enter Values'!B12</f>
        <v>48.1735927237482</v>
      </c>
      <c r="E12" s="29">
        <f>'Enter Values'!C12</f>
        <v>48.702414672139497</v>
      </c>
      <c r="F12" s="29">
        <f>'Enter Values'!D12</f>
        <v>49.686827370255301</v>
      </c>
    </row>
    <row r="13" spans="1:12" x14ac:dyDescent="0.2">
      <c r="A13" s="26" t="s">
        <v>427</v>
      </c>
      <c r="B13" s="28" t="str">
        <f>'Enter Values'!A13</f>
        <v>PC 38:6</v>
      </c>
      <c r="C13" s="26" t="str">
        <f>IF(ISNUMBER(SEARCH("-",B13)),IF(ISNUMBER(SEARCH("(",B13)),IF(ISNUMBER(SEARCH("/",B13)),CONCATENATE(MID(B13,1,IF(ISNUMBER(SEARCH(" ",B13)),FIND(" ",B13)-1,FIND("(",B13)-1))," ",MID(B13,IF(ISNUMBER(SEARCH("-",B13)),FIND("-",B13)-1),2),SUM(MID(B13,FIND("(",B13)+3,(FIND(":",B13)-(FIND("-",B13)+1))),MID(B13,FIND("/",B13)+1,(FIND(":",B13,FIND("/",B13))-FIND("/",B13)-1))),":",SUM(MID(B13,FIND(":",B13)+1,FIND("/",B13)-(FIND(":",B13)+1)),MID(B13,FIND(":",B13,FIND("/",B13))+1,FIND(")",B13)-FIND(":",B13,FIND("/",B13))-1))," ",MID(B13,(FIND(")",B13)+1),100)),CONCATENATE(MID(B13,1,IF(ISNUMBER(SEARCH(" ",B13)),FIND(" ",B13)-1,FIND("(",B13)-1))," ",MID(B13,IF(ISNUMBER(SEARCH("-",B13)),FIND("-",B13)-1),2),SUM(MID(B13,FIND("(",B13)+3,(FIND(":",B13)-(FIND("-",B13)+1))),MID(B13,FIND("_",B13)+1,(FIND(":",B13,FIND("_",B13))-FIND("_",B13)-1))),":",SUM(MID(B13,FIND(":",B13)+1,FIND("_",B13)-(FIND(":",B13)+1)),MID(B13,FIND(":",B13,FIND("_",B13))+1,FIND(")",B13)-FIND(":",B13,FIND("_",B13))-1))," ",MID(B13,(FIND(")",B13)+1),100))),B13),IF(ISNUMBER(SEARCH("(",B13)),IF(ISNUMBER(SEARCH("/",B13)),CONCATENATE(MID(B13,1,IF(ISNUMBER(SEARCH(" ",B13)),FIND(" ",B13)-1,FIND("(",B13)-1))," ",(SUM(MID(B13,FIND("(",B13)+1,FIND(":",B13)-FIND("(",B13)-1),MID(B13,FIND("/",B13)+1,FIND(":",B13,FIND("/",B13))-FIND("/",B13)-1))),":",SUM(MID(B13,FIND(":",B13)+1,FIND("/",B13)-FIND(":",B13)-1),MID(B13,FIND(":",B13,FIND("/",B13))+1,FIND(")",B13)-FIND(":",B13,FIND("/",B13))-1)),MID(B13,(FIND(")",B13)+1),100)),CONCATENATE(MID(B13,1,IF(ISNUMBER(SEARCH(" ",B13)),FIND(" ",B13)-1,FIND("(",B13)-1))," ",(SUM(MID(B13,FIND("(",B13)+1,FIND(":",B13)-FIND("(",B13)-1),MID(B13,FIND("_",B13)+1,FIND(":",B13,FIND("_",B13))-FIND("_",B13)-1))),":",SUM(MID(B13,FIND(":",B13)+1,FIND("_",B13)-FIND(":",B13)-1),MID(B13,FIND(":",B13,FIND("_",B13))+1,FIND(")",B13)-FIND(":",B13,FIND("_",B13))-1)),MID(B13,(FIND(")",B13)+1),100))),B13))</f>
        <v>PC 38:6</v>
      </c>
      <c r="D13" s="29">
        <f>'Enter Values'!B13</f>
        <v>22.458273633181602</v>
      </c>
      <c r="E13" s="29">
        <f>'Enter Values'!C13</f>
        <v>28.171668635998302</v>
      </c>
      <c r="F13" s="29">
        <f>'Enter Values'!D13</f>
        <v>19.354087585110999</v>
      </c>
    </row>
    <row r="14" spans="1:12" x14ac:dyDescent="0.2">
      <c r="A14" s="26" t="s">
        <v>429</v>
      </c>
      <c r="B14" s="28" t="str">
        <f>'Enter Values'!A14</f>
        <v>SM d42:3</v>
      </c>
      <c r="C14" s="26" t="str">
        <f>IF(ISNUMBER(SEARCH("(",B14)),IF(ISNUMBER(SEARCH("/",B14)),CONCATENATE(MID(B14,1,IF(ISNUMBER(SEARCH(" ",B14)),FIND(" ",B14)-1,FIND("(",B14)-1))," ","d",(SUM(MID(B14,FIND("(",B14)+2,FIND(":",B14)-FIND("(",B14)-2),MID(B14,FIND("/",B14)+1,FIND(":",B14,FIND("/",B14))-FIND("/",B14)-1))),":",SUM(MID(B14,FIND(":",B14)+1,FIND("/",B14)-FIND(":",B14)-1),MID(B14,FIND(":",B14,FIND("/",B14))+1,FIND(")",B14)-FIND(":",B14,FIND("/",B14))-1)),MID(B14,(FIND(")",B14)+1),100)),CONCATENATE(MID(B14,1,IF(ISNUMBER(SEARCH(" ",B14)),FIND(" ",B14)-1,FIND("(",B14)-1))," ","d",(SUM(MID(B14,FIND("(",B14)+2,FIND(":",B14)-FIND("(",B14)-2),MID(B14,FIND("_",B14)+1,FIND(":",B14,FIND("_",B14))-FIND("_",B14)-1))),":",SUM(MID(B14,FIND(":",B14)+1,FIND("_",B14)-FIND(":",B14)-1),MID(B14,FIND(":",B14,FIND("_",B14))+1,FIND(")",B14)-FIND(":",B14,FIND("_",B14))-1)),MID(B14,(FIND(")",B14)+1),100))),CONCATENATE(MID(B14,1,FIND(" ",B14)-1)," ","d",MID(B14,FIND("d",B14)+1,100)))</f>
        <v>SM d42:3</v>
      </c>
      <c r="D14" s="29">
        <f>'Enter Values'!B14</f>
        <v>25.870509487137799</v>
      </c>
      <c r="E14" s="29">
        <f>'Enter Values'!C14</f>
        <v>24.122594587719</v>
      </c>
      <c r="F14" s="29">
        <f>'Enter Values'!D14</f>
        <v>21.900294715851899</v>
      </c>
    </row>
    <row r="15" spans="1:12" x14ac:dyDescent="0.2">
      <c r="A15" s="26" t="s">
        <v>429</v>
      </c>
      <c r="B15" s="28" t="str">
        <f>'Enter Values'!A15</f>
        <v>SM d40:1</v>
      </c>
      <c r="C15" s="26" t="str">
        <f>IF(ISNUMBER(SEARCH("(",B15)),IF(ISNUMBER(SEARCH("/",B15)),CONCATENATE(MID(B15,1,IF(ISNUMBER(SEARCH(" ",B15)),FIND(" ",B15)-1,FIND("(",B15)-1))," ","d",(SUM(MID(B15,FIND("(",B15)+2,FIND(":",B15)-FIND("(",B15)-2),MID(B15,FIND("/",B15)+1,FIND(":",B15,FIND("/",B15))-FIND("/",B15)-1))),":",SUM(MID(B15,FIND(":",B15)+1,FIND("/",B15)-FIND(":",B15)-1),MID(B15,FIND(":",B15,FIND("/",B15))+1,FIND(")",B15)-FIND(":",B15,FIND("/",B15))-1)),MID(B15,(FIND(")",B15)+1),100)),CONCATENATE(MID(B15,1,IF(ISNUMBER(SEARCH(" ",B15)),FIND(" ",B15)-1,FIND("(",B15)-1))," ","d",(SUM(MID(B15,FIND("(",B15)+2,FIND(":",B15)-FIND("(",B15)-2),MID(B15,FIND("_",B15)+1,FIND(":",B15,FIND("_",B15))-FIND("_",B15)-1))),":",SUM(MID(B15,FIND(":",B15)+1,FIND("_",B15)-FIND(":",B15)-1),MID(B15,FIND(":",B15,FIND("_",B15))+1,FIND(")",B15)-FIND(":",B15,FIND("_",B15))-1)),MID(B15,(FIND(")",B15)+1),100))),CONCATENATE(MID(B15,1,FIND(" ",B15)-1)," ","d",MID(B15,FIND("d",B15)+1,100)))</f>
        <v>SM d40:1</v>
      </c>
      <c r="D15" s="29">
        <f>'Enter Values'!B15</f>
        <v>19.415491255375301</v>
      </c>
      <c r="E15" s="29">
        <f>'Enter Values'!C15</f>
        <v>19.1508709892836</v>
      </c>
      <c r="F15" s="29">
        <f>'Enter Values'!D15</f>
        <v>16.542840645553401</v>
      </c>
    </row>
    <row r="16" spans="1:12" x14ac:dyDescent="0.2">
      <c r="A16" s="26" t="s">
        <v>441</v>
      </c>
      <c r="B16" s="28" t="str">
        <f>'Enter Values'!A16</f>
        <v>PI 38:4</v>
      </c>
      <c r="C16" s="26" t="str">
        <f>IF(ISNUMBER(SEARCH("-",B16)),IF(ISNUMBER(SEARCH("(",B16)),IF(ISNUMBER(SEARCH("/",B16)),CONCATENATE(MID(B16,1,IF(ISNUMBER(SEARCH(" ",B16)),FIND(" ",B16)-1,FIND("(",B16)-1))," ",MID(B16,IF(ISNUMBER(SEARCH("-",B16)),FIND("-",B16)-1),2),SUM(MID(B16,FIND("(",B16)+3,(FIND(":",B16)-(FIND("-",B16)+1))),MID(B16,FIND("/",B16)+1,(FIND(":",B16,FIND("/",B16))-FIND("/",B16)-1))),":",SUM(MID(B16,FIND(":",B16)+1,FIND("/",B16)-(FIND(":",B16)+1)),MID(B16,FIND(":",B16,FIND("/",B16))+1,FIND(")",B16)-FIND(":",B16,FIND("/",B16))-1))," ",MID(B16,(FIND(")",B16)+1),100)),CONCATENATE(MID(B16,1,IF(ISNUMBER(SEARCH(" ",B16)),FIND(" ",B16)-1,FIND("(",B16)-1))," ",MID(B16,IF(ISNUMBER(SEARCH("-",B16)),FIND("-",B16)-1),2),SUM(MID(B16,FIND("(",B16)+3,(FIND(":",B16)-(FIND("-",B16)+1))),MID(B16,FIND("_",B16)+1,(FIND(":",B16,FIND("_",B16))-FIND("_",B16)-1))),":",SUM(MID(B16,FIND(":",B16)+1,FIND("_",B16)-(FIND(":",B16)+1)),MID(B16,FIND(":",B16,FIND("_",B16))+1,FIND(")",B16)-FIND(":",B16,FIND("_",B16))-1))," ",MID(B16,(FIND(")",B16)+1),100))),B16),IF(ISNUMBER(SEARCH("(",B16)),IF(ISNUMBER(SEARCH("/",B16)),CONCATENATE(MID(B16,1,IF(ISNUMBER(SEARCH(" ",B16)),FIND(" ",B16)-1,FIND("(",B16)-1))," ",(SUM(MID(B16,FIND("(",B16)+1,FIND(":",B16)-FIND("(",B16)-1),MID(B16,FIND("/",B16)+1,FIND(":",B16,FIND("/",B16))-FIND("/",B16)-1))),":",SUM(MID(B16,FIND(":",B16)+1,FIND("/",B16)-FIND(":",B16)-1),MID(B16,FIND(":",B16,FIND("/",B16))+1,FIND(")",B16)-FIND(":",B16,FIND("/",B16))-1)),MID(B16,(FIND(")",B16)+1),100)),CONCATENATE(MID(B16,1,IF(ISNUMBER(SEARCH(" ",B16)),FIND(" ",B16)-1,FIND("(",B16)-1))," ",(SUM(MID(B16,FIND("(",B16)+1,FIND(":",B16)-FIND("(",B16)-1),MID(B16,FIND("_",B16)+1,FIND(":",B16,FIND("_",B16))-FIND("_",B16)-1))),":",SUM(MID(B16,FIND(":",B16)+1,FIND("_",B16)-FIND(":",B16)-1),MID(B16,FIND(":",B16,FIND("_",B16))+1,FIND(")",B16)-FIND(":",B16,FIND("_",B16))-1)),MID(B16,(FIND(")",B16)+1),100))),B16))</f>
        <v>PI 38:4</v>
      </c>
      <c r="D16" s="29">
        <f>'Enter Values'!B16</f>
        <v>16.876153666178499</v>
      </c>
      <c r="E16" s="29">
        <f>'Enter Values'!C16</f>
        <v>15.9917250468894</v>
      </c>
      <c r="F16" s="29">
        <f>'Enter Values'!D16</f>
        <v>14.6099769573659</v>
      </c>
    </row>
    <row r="17" spans="1:6" x14ac:dyDescent="0.2">
      <c r="A17" s="26" t="s">
        <v>429</v>
      </c>
      <c r="B17" s="28" t="str">
        <f>'Enter Values'!A17</f>
        <v>SM d40:2</v>
      </c>
      <c r="C17" s="26" t="str">
        <f>IF(ISNUMBER(SEARCH("(",B17)),IF(ISNUMBER(SEARCH("/",B17)),CONCATENATE(MID(B17,1,IF(ISNUMBER(SEARCH(" ",B17)),FIND(" ",B17)-1,FIND("(",B17)-1))," ","d",(SUM(MID(B17,FIND("(",B17)+2,FIND(":",B17)-FIND("(",B17)-2),MID(B17,FIND("/",B17)+1,FIND(":",B17,FIND("/",B17))-FIND("/",B17)-1))),":",SUM(MID(B17,FIND(":",B17)+1,FIND("/",B17)-FIND(":",B17)-1),MID(B17,FIND(":",B17,FIND("/",B17))+1,FIND(")",B17)-FIND(":",B17,FIND("/",B17))-1)),MID(B17,(FIND(")",B17)+1),100)),CONCATENATE(MID(B17,1,IF(ISNUMBER(SEARCH(" ",B17)),FIND(" ",B17)-1,FIND("(",B17)-1))," ","d",(SUM(MID(B17,FIND("(",B17)+2,FIND(":",B17)-FIND("(",B17)-2),MID(B17,FIND("_",B17)+1,FIND(":",B17,FIND("_",B17))-FIND("_",B17)-1))),":",SUM(MID(B17,FIND(":",B17)+1,FIND("_",B17)-FIND(":",B17)-1),MID(B17,FIND(":",B17,FIND("_",B17))+1,FIND(")",B17)-FIND(":",B17,FIND("_",B17))-1)),MID(B17,(FIND(")",B17)+1),100))),CONCATENATE(MID(B17,1,FIND(" ",B17)-1)," ","d",MID(B17,FIND("d",B17)+1,100)))</f>
        <v>SM d40:2</v>
      </c>
      <c r="D17" s="29">
        <f>'Enter Values'!B17</f>
        <v>16.126317668333702</v>
      </c>
      <c r="E17" s="29">
        <f>'Enter Values'!C17</f>
        <v>14.631701084364201</v>
      </c>
      <c r="F17" s="29">
        <f>'Enter Values'!D17</f>
        <v>13.0965273689499</v>
      </c>
    </row>
    <row r="18" spans="1:6" x14ac:dyDescent="0.2">
      <c r="A18" s="26" t="s">
        <v>427</v>
      </c>
      <c r="B18" s="28" t="str">
        <f>'Enter Values'!A18</f>
        <v>PC 34:0</v>
      </c>
      <c r="C18" s="26" t="str">
        <f>IF(ISNUMBER(SEARCH("-",B18)),IF(ISNUMBER(SEARCH("(",B18)),IF(ISNUMBER(SEARCH("/",B18)),CONCATENATE(MID(B18,1,IF(ISNUMBER(SEARCH(" ",B18)),FIND(" ",B18)-1,FIND("(",B18)-1))," ",MID(B18,IF(ISNUMBER(SEARCH("-",B18)),FIND("-",B18)-1),2),SUM(MID(B18,FIND("(",B18)+3,(FIND(":",B18)-(FIND("-",B18)+1))),MID(B18,FIND("/",B18)+1,(FIND(":",B18,FIND("/",B18))-FIND("/",B18)-1))),":",SUM(MID(B18,FIND(":",B18)+1,FIND("/",B18)-(FIND(":",B18)+1)),MID(B18,FIND(":",B18,FIND("/",B18))+1,FIND(")",B18)-FIND(":",B18,FIND("/",B18))-1))," ",MID(B18,(FIND(")",B18)+1),100)),CONCATENATE(MID(B18,1,IF(ISNUMBER(SEARCH(" ",B18)),FIND(" ",B18)-1,FIND("(",B18)-1))," ",MID(B18,IF(ISNUMBER(SEARCH("-",B18)),FIND("-",B18)-1),2),SUM(MID(B18,FIND("(",B18)+3,(FIND(":",B18)-(FIND("-",B18)+1))),MID(B18,FIND("_",B18)+1,(FIND(":",B18,FIND("_",B18))-FIND("_",B18)-1))),":",SUM(MID(B18,FIND(":",B18)+1,FIND("_",B18)-(FIND(":",B18)+1)),MID(B18,FIND(":",B18,FIND("_",B18))+1,FIND(")",B18)-FIND(":",B18,FIND("_",B18))-1))," ",MID(B18,(FIND(")",B18)+1),100))),B18),IF(ISNUMBER(SEARCH("(",B18)),IF(ISNUMBER(SEARCH("/",B18)),CONCATENATE(MID(B18,1,IF(ISNUMBER(SEARCH(" ",B18)),FIND(" ",B18)-1,FIND("(",B18)-1))," ",(SUM(MID(B18,FIND("(",B18)+1,FIND(":",B18)-FIND("(",B18)-1),MID(B18,FIND("/",B18)+1,FIND(":",B18,FIND("/",B18))-FIND("/",B18)-1))),":",SUM(MID(B18,FIND(":",B18)+1,FIND("/",B18)-FIND(":",B18)-1),MID(B18,FIND(":",B18,FIND("/",B18))+1,FIND(")",B18)-FIND(":",B18,FIND("/",B18))-1)),MID(B18,(FIND(")",B18)+1),100)),CONCATENATE(MID(B18,1,IF(ISNUMBER(SEARCH(" ",B18)),FIND(" ",B18)-1,FIND("(",B18)-1))," ",(SUM(MID(B18,FIND("(",B18)+1,FIND(":",B18)-FIND("(",B18)-1),MID(B18,FIND("_",B18)+1,FIND(":",B18,FIND("_",B18))-FIND("_",B18)-1))),":",SUM(MID(B18,FIND(":",B18)+1,FIND("_",B18)-FIND(":",B18)-1),MID(B18,FIND(":",B18,FIND("_",B18))+1,FIND(")",B18)-FIND(":",B18,FIND("_",B18))-1)),MID(B18,(FIND(")",B18)+1),100))),B18))</f>
        <v>PC 34:0</v>
      </c>
      <c r="D18" s="29">
        <f>'Enter Values'!B18</f>
        <v>12.9184280736683</v>
      </c>
      <c r="E18" s="29">
        <f>'Enter Values'!C18</f>
        <v>16.950148234520999</v>
      </c>
      <c r="F18" s="29">
        <f>'Enter Values'!D18</f>
        <v>11.729318373288001</v>
      </c>
    </row>
    <row r="19" spans="1:6" x14ac:dyDescent="0.2">
      <c r="A19" s="26" t="s">
        <v>427</v>
      </c>
      <c r="B19" s="28" t="str">
        <f>'Enter Values'!A19</f>
        <v>PC 38:5</v>
      </c>
      <c r="C19" s="26" t="str">
        <f>IF(ISNUMBER(SEARCH("-",B19)),IF(ISNUMBER(SEARCH("(",B19)),IF(ISNUMBER(SEARCH("/",B19)),CONCATENATE(MID(B19,1,IF(ISNUMBER(SEARCH(" ",B19)),FIND(" ",B19)-1,FIND("(",B19)-1))," ",MID(B19,IF(ISNUMBER(SEARCH("-",B19)),FIND("-",B19)-1),2),SUM(MID(B19,FIND("(",B19)+3,(FIND(":",B19)-(FIND("-",B19)+1))),MID(B19,FIND("/",B19)+1,(FIND(":",B19,FIND("/",B19))-FIND("/",B19)-1))),":",SUM(MID(B19,FIND(":",B19)+1,FIND("/",B19)-(FIND(":",B19)+1)),MID(B19,FIND(":",B19,FIND("/",B19))+1,FIND(")",B19)-FIND(":",B19,FIND("/",B19))-1))," ",MID(B19,(FIND(")",B19)+1),100)),CONCATENATE(MID(B19,1,IF(ISNUMBER(SEARCH(" ",B19)),FIND(" ",B19)-1,FIND("(",B19)-1))," ",MID(B19,IF(ISNUMBER(SEARCH("-",B19)),FIND("-",B19)-1),2),SUM(MID(B19,FIND("(",B19)+3,(FIND(":",B19)-(FIND("-",B19)+1))),MID(B19,FIND("_",B19)+1,(FIND(":",B19,FIND("_",B19))-FIND("_",B19)-1))),":",SUM(MID(B19,FIND(":",B19)+1,FIND("_",B19)-(FIND(":",B19)+1)),MID(B19,FIND(":",B19,FIND("_",B19))+1,FIND(")",B19)-FIND(":",B19,FIND("_",B19))-1))," ",MID(B19,(FIND(")",B19)+1),100))),B19),IF(ISNUMBER(SEARCH("(",B19)),IF(ISNUMBER(SEARCH("/",B19)),CONCATENATE(MID(B19,1,IF(ISNUMBER(SEARCH(" ",B19)),FIND(" ",B19)-1,FIND("(",B19)-1))," ",(SUM(MID(B19,FIND("(",B19)+1,FIND(":",B19)-FIND("(",B19)-1),MID(B19,FIND("/",B19)+1,FIND(":",B19,FIND("/",B19))-FIND("/",B19)-1))),":",SUM(MID(B19,FIND(":",B19)+1,FIND("/",B19)-FIND(":",B19)-1),MID(B19,FIND(":",B19,FIND("/",B19))+1,FIND(")",B19)-FIND(":",B19,FIND("/",B19))-1)),MID(B19,(FIND(")",B19)+1),100)),CONCATENATE(MID(B19,1,IF(ISNUMBER(SEARCH(" ",B19)),FIND(" ",B19)-1,FIND("(",B19)-1))," ",(SUM(MID(B19,FIND("(",B19)+1,FIND(":",B19)-FIND("(",B19)-1),MID(B19,FIND("_",B19)+1,FIND(":",B19,FIND("_",B19))-FIND("_",B19)-1))),":",SUM(MID(B19,FIND(":",B19)+1,FIND("_",B19)-FIND(":",B19)-1),MID(B19,FIND(":",B19,FIND("_",B19))+1,FIND(")",B19)-FIND(":",B19,FIND("_",B19))-1)),MID(B19,(FIND(")",B19)+1),100))),B19))</f>
        <v>PC 38:5</v>
      </c>
      <c r="D19" s="29">
        <f>'Enter Values'!B19</f>
        <v>11.0613684316292</v>
      </c>
      <c r="E19" s="29">
        <f>'Enter Values'!C19</f>
        <v>13.8142490894388</v>
      </c>
      <c r="F19" s="29">
        <f>'Enter Values'!D19</f>
        <v>9.46465993741589</v>
      </c>
    </row>
    <row r="20" spans="1:6" x14ac:dyDescent="0.2">
      <c r="A20" s="26" t="s">
        <v>427</v>
      </c>
      <c r="B20" s="28" t="str">
        <f>'Enter Values'!A20</f>
        <v>PC 40:6</v>
      </c>
      <c r="C20" s="26" t="str">
        <f>IF(ISNUMBER(SEARCH("-",B20)),IF(ISNUMBER(SEARCH("(",B20)),IF(ISNUMBER(SEARCH("/",B20)),CONCATENATE(MID(B20,1,IF(ISNUMBER(SEARCH(" ",B20)),FIND(" ",B20)-1,FIND("(",B20)-1))," ",MID(B20,IF(ISNUMBER(SEARCH("-",B20)),FIND("-",B20)-1),2),SUM(MID(B20,FIND("(",B20)+3,(FIND(":",B20)-(FIND("-",B20)+1))),MID(B20,FIND("/",B20)+1,(FIND(":",B20,FIND("/",B20))-FIND("/",B20)-1))),":",SUM(MID(B20,FIND(":",B20)+1,FIND("/",B20)-(FIND(":",B20)+1)),MID(B20,FIND(":",B20,FIND("/",B20))+1,FIND(")",B20)-FIND(":",B20,FIND("/",B20))-1))," ",MID(B20,(FIND(")",B20)+1),100)),CONCATENATE(MID(B20,1,IF(ISNUMBER(SEARCH(" ",B20)),FIND(" ",B20)-1,FIND("(",B20)-1))," ",MID(B20,IF(ISNUMBER(SEARCH("-",B20)),FIND("-",B20)-1),2),SUM(MID(B20,FIND("(",B20)+3,(FIND(":",B20)-(FIND("-",B20)+1))),MID(B20,FIND("_",B20)+1,(FIND(":",B20,FIND("_",B20))-FIND("_",B20)-1))),":",SUM(MID(B20,FIND(":",B20)+1,FIND("_",B20)-(FIND(":",B20)+1)),MID(B20,FIND(":",B20,FIND("_",B20))+1,FIND(")",B20)-FIND(":",B20,FIND("_",B20))-1))," ",MID(B20,(FIND(")",B20)+1),100))),B20),IF(ISNUMBER(SEARCH("(",B20)),IF(ISNUMBER(SEARCH("/",B20)),CONCATENATE(MID(B20,1,IF(ISNUMBER(SEARCH(" ",B20)),FIND(" ",B20)-1,FIND("(",B20)-1))," ",(SUM(MID(B20,FIND("(",B20)+1,FIND(":",B20)-FIND("(",B20)-1),MID(B20,FIND("/",B20)+1,FIND(":",B20,FIND("/",B20))-FIND("/",B20)-1))),":",SUM(MID(B20,FIND(":",B20)+1,FIND("/",B20)-FIND(":",B20)-1),MID(B20,FIND(":",B20,FIND("/",B20))+1,FIND(")",B20)-FIND(":",B20,FIND("/",B20))-1)),MID(B20,(FIND(")",B20)+1),100)),CONCATENATE(MID(B20,1,IF(ISNUMBER(SEARCH(" ",B20)),FIND(" ",B20)-1,FIND("(",B20)-1))," ",(SUM(MID(B20,FIND("(",B20)+1,FIND(":",B20)-FIND("(",B20)-1),MID(B20,FIND("_",B20)+1,FIND(":",B20,FIND("_",B20))-FIND("_",B20)-1))),":",SUM(MID(B20,FIND(":",B20)+1,FIND("_",B20)-FIND(":",B20)-1),MID(B20,FIND(":",B20,FIND("_",B20))+1,FIND(")",B20)-FIND(":",B20,FIND("_",B20))-1)),MID(B20,(FIND(")",B20)+1),100))),B20))</f>
        <v>PC 40:6</v>
      </c>
      <c r="D20" s="29">
        <f>'Enter Values'!B20</f>
        <v>10.841712216597999</v>
      </c>
      <c r="E20" s="29">
        <f>'Enter Values'!C20</f>
        <v>13.2976937724489</v>
      </c>
      <c r="F20" s="29">
        <f>'Enter Values'!D20</f>
        <v>8.8883908702574104</v>
      </c>
    </row>
    <row r="21" spans="1:6" x14ac:dyDescent="0.2">
      <c r="A21" s="26" t="s">
        <v>428</v>
      </c>
      <c r="B21" s="28" t="str">
        <f>'Enter Values'!A21</f>
        <v>PE O-38:5</v>
      </c>
      <c r="C21" s="26" t="str">
        <f>IF(ISNUMBER(SEARCH("-",B21)),IF(ISNUMBER(SEARCH("(",B21)),IF(ISNUMBER(SEARCH("/",B21)),CONCATENATE(MID(B21,1,IF(ISNUMBER(SEARCH(" ",B21)),FIND(" ",B21)-1,FIND("(",B21)-1))," ",MID(B21,IF(ISNUMBER(SEARCH("-",B21)),FIND("-",B21)-1),2),SUM(MID(B21,FIND("(",B21)+3,(FIND(":",B21)-(FIND("-",B21)+1))),MID(B21,FIND("/",B21)+1,(FIND(":",B21,FIND("/",B21))-FIND("/",B21)-1))),":",SUM(MID(B21,FIND(":",B21)+1,FIND("/",B21)-(FIND(":",B21)+1)),MID(B21,FIND(":",B21,FIND("/",B21))+1,FIND(")",B21)-FIND(":",B21,FIND("/",B21))-1))," ",MID(B21,(FIND(")",B21)+1),100)),CONCATENATE(MID(B21,1,IF(ISNUMBER(SEARCH(" ",B21)),FIND(" ",B21)-1,FIND("(",B21)-1))," ",MID(B21,IF(ISNUMBER(SEARCH("-",B21)),FIND("-",B21)-1),2),SUM(MID(B21,FIND("(",B21)+3,(FIND(":",B21)-(FIND("-",B21)+1))),MID(B21,FIND("_",B21)+1,(FIND(":",B21,FIND("_",B21))-FIND("_",B21)-1))),":",SUM(MID(B21,FIND(":",B21)+1,FIND("_",B21)-(FIND(":",B21)+1)),MID(B21,FIND(":",B21,FIND("_",B21))+1,FIND(")",B21)-FIND(":",B21,FIND("_",B21))-1))," ",MID(B21,(FIND(")",B21)+1),100))),B21),IF(ISNUMBER(SEARCH("(",B21)),IF(ISNUMBER(SEARCH("/",B21)),CONCATENATE(MID(B21,1,IF(ISNUMBER(SEARCH(" ",B21)),FIND(" ",B21)-1,FIND("(",B21)-1))," ",(SUM(MID(B21,FIND("(",B21)+1,FIND(":",B21)-FIND("(",B21)-1),MID(B21,FIND("/",B21)+1,FIND(":",B21,FIND("/",B21))-FIND("/",B21)-1))),":",SUM(MID(B21,FIND(":",B21)+1,FIND("/",B21)-FIND(":",B21)-1),MID(B21,FIND(":",B21,FIND("/",B21))+1,FIND(")",B21)-FIND(":",B21,FIND("/",B21))-1)),MID(B21,(FIND(")",B21)+1),100)),CONCATENATE(MID(B21,1,IF(ISNUMBER(SEARCH(" ",B21)),FIND(" ",B21)-1,FIND("(",B21)-1))," ",(SUM(MID(B21,FIND("(",B21)+1,FIND(":",B21)-FIND("(",B21)-1),MID(B21,FIND("_",B21)+1,FIND(":",B21,FIND("_",B21))-FIND("_",B21)-1))),":",SUM(MID(B21,FIND(":",B21)+1,FIND("_",B21)-FIND(":",B21)-1),MID(B21,FIND(":",B21,FIND("_",B21))+1,FIND(")",B21)-FIND(":",B21,FIND("_",B21))-1)),MID(B21,(FIND(")",B21)+1),100))),B21))</f>
        <v>PE O-38:5</v>
      </c>
      <c r="D21" s="29">
        <f>'Enter Values'!B21</f>
        <v>5.2918869568339204</v>
      </c>
      <c r="E21" s="29">
        <f>'Enter Values'!C21</f>
        <v>5.6309090222441496</v>
      </c>
      <c r="F21" s="29">
        <f>'Enter Values'!D21</f>
        <v>5.3346636603844102</v>
      </c>
    </row>
    <row r="22" spans="1:6" x14ac:dyDescent="0.2">
      <c r="A22" s="26" t="s">
        <v>425</v>
      </c>
      <c r="B22" s="28" t="str">
        <f>'Enter Values'!A22</f>
        <v>LPC 18:0</v>
      </c>
      <c r="C22" s="26" t="str">
        <f>IF(ISNUMBER(SEARCH("-",B22)),IF(ISNUMBER(SEARCH("(",B22)),IF(ISNUMBER(SEARCH("/",B22)),CONCATENATE(MID(B22,1,IF(ISNUMBER(SEARCH(" ",B22)),FIND(" ",B22)-1,FIND("(",B22)-1))," ",MID(B22,IF(ISNUMBER(SEARCH("-",B22)),FIND("-",B22)-1),2),SUM(MID(B22,FIND("(",B22)+3,(FIND(":",B22)-(FIND("-",B22)+1))),MID(B22,FIND("/",B22)+1,(FIND(":",B22,FIND("/",B22))-FIND("/",B22)-1))),":",SUM(MID(B22,FIND(":",B22)+1,FIND("/",B22)-(FIND(":",B22)+1)),MID(B22,FIND(":",B22,FIND("/",B22))+1,FIND(")",B22)-FIND(":",B22,FIND("/",B22))-1))," ",MID(B22,(FIND(")",B22)+1),100)),CONCATENATE(MID(B22,1,IF(ISNUMBER(SEARCH(" ",B22)),FIND(" ",B22)-1,FIND("(",B22)-1))," ",MID(B22,IF(ISNUMBER(SEARCH("-",B22)),FIND("-",B22)-1),2),SUM(MID(B22,FIND("(",B22)+3,(FIND(":",B22)-(FIND("-",B22)+1))),MID(B22,FIND("_",B22)+1,(FIND(":",B22,FIND("_",B22))-FIND("_",B22)-1))),":",SUM(MID(B22,FIND(":",B22)+1,FIND("_",B22)-(FIND(":",B22)+1)),MID(B22,FIND(":",B22,FIND("_",B22))+1,FIND(")",B22)-FIND(":",B22,FIND("_",B22))-1))," ",MID(B22,(FIND(")",B22)+1),100))),B22),IF(ISNUMBER(SEARCH("(",B22)),IF(ISNUMBER(SEARCH("/",B22)),CONCATENATE(MID(B22,1,IF(ISNUMBER(SEARCH(" ",B22)),FIND(" ",B22)-1,FIND("(",B22)-1))," ",(SUM(MID(B22,FIND("(",B22)+1,FIND(":",B22)-FIND("(",B22)-1),MID(B22,FIND("/",B22)+1,FIND(":",B22,FIND("/",B22))-FIND("/",B22)-1))),":",SUM(MID(B22,FIND(":",B22)+1,FIND("/",B22)-FIND(":",B22)-1),MID(B22,FIND(":",B22,FIND("/",B22))+1,FIND(")",B22)-FIND(":",B22,FIND("/",B22))-1)),MID(B22,(FIND(")",B22)+1),100)),CONCATENATE(MID(B22,1,IF(ISNUMBER(SEARCH(" ",B22)),FIND(" ",B22)-1,FIND("(",B22)-1))," ",(SUM(MID(B22,FIND("(",B22)+1,FIND(":",B22)-FIND("(",B22)-1),MID(B22,FIND("_",B22)+1,FIND(":",B22,FIND("_",B22))-FIND("_",B22)-1))),":",SUM(MID(B22,FIND(":",B22)+1,FIND("_",B22)-FIND(":",B22)-1),MID(B22,FIND(":",B22,FIND("_",B22))+1,FIND(")",B22)-FIND(":",B22,FIND("_",B22))-1)),MID(B22,(FIND(")",B22)+1),100))),B22))</f>
        <v>LPC 18:0</v>
      </c>
      <c r="D22" s="29">
        <f>'Enter Values'!B22</f>
        <v>20.295239086366301</v>
      </c>
      <c r="E22" s="29">
        <f>'Enter Values'!C22</f>
        <v>20.167723834894701</v>
      </c>
      <c r="F22" s="29">
        <f>'Enter Values'!D22</f>
        <v>18.5770623298129</v>
      </c>
    </row>
    <row r="23" spans="1:6" x14ac:dyDescent="0.2">
      <c r="A23" s="26" t="s">
        <v>427</v>
      </c>
      <c r="B23" s="28" t="str">
        <f>'Enter Values'!A23</f>
        <v>PC 32:1</v>
      </c>
      <c r="C23" s="26" t="str">
        <f>IF(ISNUMBER(SEARCH("-",B23)),IF(ISNUMBER(SEARCH("(",B23)),IF(ISNUMBER(SEARCH("/",B23)),CONCATENATE(MID(B23,1,IF(ISNUMBER(SEARCH(" ",B23)),FIND(" ",B23)-1,FIND("(",B23)-1))," ",MID(B23,IF(ISNUMBER(SEARCH("-",B23)),FIND("-",B23)-1),2),SUM(MID(B23,FIND("(",B23)+3,(FIND(":",B23)-(FIND("-",B23)+1))),MID(B23,FIND("/",B23)+1,(FIND(":",B23,FIND("/",B23))-FIND("/",B23)-1))),":",SUM(MID(B23,FIND(":",B23)+1,FIND("/",B23)-(FIND(":",B23)+1)),MID(B23,FIND(":",B23,FIND("/",B23))+1,FIND(")",B23)-FIND(":",B23,FIND("/",B23))-1))," ",MID(B23,(FIND(")",B23)+1),100)),CONCATENATE(MID(B23,1,IF(ISNUMBER(SEARCH(" ",B23)),FIND(" ",B23)-1,FIND("(",B23)-1))," ",MID(B23,IF(ISNUMBER(SEARCH("-",B23)),FIND("-",B23)-1),2),SUM(MID(B23,FIND("(",B23)+3,(FIND(":",B23)-(FIND("-",B23)+1))),MID(B23,FIND("_",B23)+1,(FIND(":",B23,FIND("_",B23))-FIND("_",B23)-1))),":",SUM(MID(B23,FIND(":",B23)+1,FIND("_",B23)-(FIND(":",B23)+1)),MID(B23,FIND(":",B23,FIND("_",B23))+1,FIND(")",B23)-FIND(":",B23,FIND("_",B23))-1))," ",MID(B23,(FIND(")",B23)+1),100))),B23),IF(ISNUMBER(SEARCH("(",B23)),IF(ISNUMBER(SEARCH("/",B23)),CONCATENATE(MID(B23,1,IF(ISNUMBER(SEARCH(" ",B23)),FIND(" ",B23)-1,FIND("(",B23)-1))," ",(SUM(MID(B23,FIND("(",B23)+1,FIND(":",B23)-FIND("(",B23)-1),MID(B23,FIND("/",B23)+1,FIND(":",B23,FIND("/",B23))-FIND("/",B23)-1))),":",SUM(MID(B23,FIND(":",B23)+1,FIND("/",B23)-FIND(":",B23)-1),MID(B23,FIND(":",B23,FIND("/",B23))+1,FIND(")",B23)-FIND(":",B23,FIND("/",B23))-1)),MID(B23,(FIND(")",B23)+1),100)),CONCATENATE(MID(B23,1,IF(ISNUMBER(SEARCH(" ",B23)),FIND(" ",B23)-1,FIND("(",B23)-1))," ",(SUM(MID(B23,FIND("(",B23)+1,FIND(":",B23)-FIND("(",B23)-1),MID(B23,FIND("_",B23)+1,FIND(":",B23,FIND("_",B23))-FIND("_",B23)-1))),":",SUM(MID(B23,FIND(":",B23)+1,FIND("_",B23)-FIND(":",B23)-1),MID(B23,FIND(":",B23,FIND("_",B23))+1,FIND(")",B23)-FIND(":",B23,FIND("_",B23))-1)),MID(B23,(FIND(")",B23)+1),100))),B23))</f>
        <v>PC 32:1</v>
      </c>
      <c r="D23" s="29">
        <f>'Enter Values'!B23</f>
        <v>8.8641152743019198</v>
      </c>
      <c r="E23" s="29">
        <f>'Enter Values'!C23</f>
        <v>10.8393808726097</v>
      </c>
      <c r="F23" s="29">
        <f>'Enter Values'!D23</f>
        <v>7.2421724787194703</v>
      </c>
    </row>
    <row r="24" spans="1:6" x14ac:dyDescent="0.2">
      <c r="A24" s="26" t="s">
        <v>427</v>
      </c>
      <c r="B24" s="28" t="str">
        <f>'Enter Values'!A24</f>
        <v>PC O-36:4</v>
      </c>
      <c r="C24" s="26" t="str">
        <f>IF(ISNUMBER(SEARCH("-",B24)),IF(ISNUMBER(SEARCH("(",B24)),IF(ISNUMBER(SEARCH("/",B24)),CONCATENATE(MID(B24,1,IF(ISNUMBER(SEARCH(" ",B24)),FIND(" ",B24)-1,FIND("(",B24)-1))," ",MID(B24,IF(ISNUMBER(SEARCH("-",B24)),FIND("-",B24)-1),2),SUM(MID(B24,FIND("(",B24)+3,(FIND(":",B24)-(FIND("-",B24)+1))),MID(B24,FIND("/",B24)+1,(FIND(":",B24,FIND("/",B24))-FIND("/",B24)-1))),":",SUM(MID(B24,FIND(":",B24)+1,FIND("/",B24)-(FIND(":",B24)+1)),MID(B24,FIND(":",B24,FIND("/",B24))+1,FIND(")",B24)-FIND(":",B24,FIND("/",B24))-1))," ",MID(B24,(FIND(")",B24)+1),100)),CONCATENATE(MID(B24,1,IF(ISNUMBER(SEARCH(" ",B24)),FIND(" ",B24)-1,FIND("(",B24)-1))," ",MID(B24,IF(ISNUMBER(SEARCH("-",B24)),FIND("-",B24)-1),2),SUM(MID(B24,FIND("(",B24)+3,(FIND(":",B24)-(FIND("-",B24)+1))),MID(B24,FIND("_",B24)+1,(FIND(":",B24,FIND("_",B24))-FIND("_",B24)-1))),":",SUM(MID(B24,FIND(":",B24)+1,FIND("_",B24)-(FIND(":",B24)+1)),MID(B24,FIND(":",B24,FIND("_",B24))+1,FIND(")",B24)-FIND(":",B24,FIND("_",B24))-1))," ",MID(B24,(FIND(")",B24)+1),100))),B24),IF(ISNUMBER(SEARCH("(",B24)),IF(ISNUMBER(SEARCH("/",B24)),CONCATENATE(MID(B24,1,IF(ISNUMBER(SEARCH(" ",B24)),FIND(" ",B24)-1,FIND("(",B24)-1))," ",(SUM(MID(B24,FIND("(",B24)+1,FIND(":",B24)-FIND("(",B24)-1),MID(B24,FIND("/",B24)+1,FIND(":",B24,FIND("/",B24))-FIND("/",B24)-1))),":",SUM(MID(B24,FIND(":",B24)+1,FIND("/",B24)-FIND(":",B24)-1),MID(B24,FIND(":",B24,FIND("/",B24))+1,FIND(")",B24)-FIND(":",B24,FIND("/",B24))-1)),MID(B24,(FIND(")",B24)+1),100)),CONCATENATE(MID(B24,1,IF(ISNUMBER(SEARCH(" ",B24)),FIND(" ",B24)-1,FIND("(",B24)-1))," ",(SUM(MID(B24,FIND("(",B24)+1,FIND(":",B24)-FIND("(",B24)-1),MID(B24,FIND("_",B24)+1,FIND(":",B24,FIND("_",B24))-FIND("_",B24)-1))),":",SUM(MID(B24,FIND(":",B24)+1,FIND("_",B24)-FIND(":",B24)-1),MID(B24,FIND(":",B24,FIND("_",B24))+1,FIND(")",B24)-FIND(":",B24,FIND("_",B24))-1)),MID(B24,(FIND(")",B24)+1),100))),B24))</f>
        <v>PC O-36:4</v>
      </c>
      <c r="D24" s="29">
        <f>'Enter Values'!B24</f>
        <v>8.7258156953528303</v>
      </c>
      <c r="E24" s="29">
        <f>'Enter Values'!C24</f>
        <v>10.5115807825606</v>
      </c>
      <c r="F24" s="29">
        <f>'Enter Values'!D24</f>
        <v>7.2011863145852999</v>
      </c>
    </row>
    <row r="25" spans="1:6" x14ac:dyDescent="0.2">
      <c r="A25" s="26" t="s">
        <v>429</v>
      </c>
      <c r="B25" s="28" t="str">
        <f>'Enter Values'!A25</f>
        <v>SM d36:1</v>
      </c>
      <c r="C25" s="26" t="str">
        <f>IF(ISNUMBER(SEARCH("(",B25)),IF(ISNUMBER(SEARCH("/",B25)),CONCATENATE(MID(B25,1,IF(ISNUMBER(SEARCH(" ",B25)),FIND(" ",B25)-1,FIND("(",B25)-1))," ","d",(SUM(MID(B25,FIND("(",B25)+2,FIND(":",B25)-FIND("(",B25)-2),MID(B25,FIND("/",B25)+1,FIND(":",B25,FIND("/",B25))-FIND("/",B25)-1))),":",SUM(MID(B25,FIND(":",B25)+1,FIND("/",B25)-FIND(":",B25)-1),MID(B25,FIND(":",B25,FIND("/",B25))+1,FIND(")",B25)-FIND(":",B25,FIND("/",B25))-1)),MID(B25,(FIND(")",B25)+1),100)),CONCATENATE(MID(B25,1,IF(ISNUMBER(SEARCH(" ",B25)),FIND(" ",B25)-1,FIND("(",B25)-1))," ","d",(SUM(MID(B25,FIND("(",B25)+2,FIND(":",B25)-FIND("(",B25)-2),MID(B25,FIND("_",B25)+1,FIND(":",B25,FIND("_",B25))-FIND("_",B25)-1))),":",SUM(MID(B25,FIND(":",B25)+1,FIND("_",B25)-FIND(":",B25)-1),MID(B25,FIND(":",B25,FIND("_",B25))+1,FIND(")",B25)-FIND(":",B25,FIND("_",B25))-1)),MID(B25,(FIND(")",B25)+1),100))),CONCATENATE(MID(B25,1,FIND(" ",B25)-1)," ","d",MID(B25,FIND("d",B25)+1,100)))</f>
        <v>SM d36:1</v>
      </c>
      <c r="D25" s="29">
        <f>'Enter Values'!B25</f>
        <v>9.9470677508422796</v>
      </c>
      <c r="E25" s="29">
        <f>'Enter Values'!C25</f>
        <v>8.8464446211085299</v>
      </c>
      <c r="F25" s="29">
        <f>'Enter Values'!D25</f>
        <v>8.1528469541017792</v>
      </c>
    </row>
    <row r="26" spans="1:6" x14ac:dyDescent="0.2">
      <c r="A26" s="26" t="s">
        <v>429</v>
      </c>
      <c r="B26" s="28" t="str">
        <f>'Enter Values'!A26</f>
        <v>SM d38:1</v>
      </c>
      <c r="C26" s="26" t="str">
        <f>IF(ISNUMBER(SEARCH("(",B26)),IF(ISNUMBER(SEARCH("/",B26)),CONCATENATE(MID(B26,1,IF(ISNUMBER(SEARCH(" ",B26)),FIND(" ",B26)-1,FIND("(",B26)-1))," ","d",(SUM(MID(B26,FIND("(",B26)+2,FIND(":",B26)-FIND("(",B26)-2),MID(B26,FIND("/",B26)+1,FIND(":",B26,FIND("/",B26))-FIND("/",B26)-1))),":",SUM(MID(B26,FIND(":",B26)+1,FIND("/",B26)-FIND(":",B26)-1),MID(B26,FIND(":",B26,FIND("/",B26))+1,FIND(")",B26)-FIND(":",B26,FIND("/",B26))-1)),MID(B26,(FIND(")",B26)+1),100)),CONCATENATE(MID(B26,1,IF(ISNUMBER(SEARCH(" ",B26)),FIND(" ",B26)-1,FIND("(",B26)-1))," ","d",(SUM(MID(B26,FIND("(",B26)+2,FIND(":",B26)-FIND("(",B26)-2),MID(B26,FIND("_",B26)+1,FIND(":",B26,FIND("_",B26))-FIND("_",B26)-1))),":",SUM(MID(B26,FIND(":",B26)+1,FIND("_",B26)-FIND(":",B26)-1),MID(B26,FIND(":",B26,FIND("_",B26))+1,FIND(")",B26)-FIND(":",B26,FIND("_",B26))-1)),MID(B26,(FIND(")",B26)+1),100))),CONCATENATE(MID(B26,1,FIND(" ",B26)-1)," ","d",MID(B26,FIND("d",B26)+1,100)))</f>
        <v>SM d38:1</v>
      </c>
      <c r="D26" s="29">
        <f>'Enter Values'!B26</f>
        <v>9.9310695357592707</v>
      </c>
      <c r="E26" s="29">
        <f>'Enter Values'!C26</f>
        <v>9.2525099373549207</v>
      </c>
      <c r="F26" s="29">
        <f>'Enter Values'!D26</f>
        <v>8.1949761341575105</v>
      </c>
    </row>
    <row r="27" spans="1:6" x14ac:dyDescent="0.2">
      <c r="A27" s="26" t="s">
        <v>427</v>
      </c>
      <c r="B27" s="28" t="str">
        <f>'Enter Values'!A27</f>
        <v>PC 36:5</v>
      </c>
      <c r="C27" s="26" t="str">
        <f>IF(ISNUMBER(SEARCH("-",B27)),IF(ISNUMBER(SEARCH("(",B27)),IF(ISNUMBER(SEARCH("/",B27)),CONCATENATE(MID(B27,1,IF(ISNUMBER(SEARCH(" ",B27)),FIND(" ",B27)-1,FIND("(",B27)-1))," ",MID(B27,IF(ISNUMBER(SEARCH("-",B27)),FIND("-",B27)-1),2),SUM(MID(B27,FIND("(",B27)+3,(FIND(":",B27)-(FIND("-",B27)+1))),MID(B27,FIND("/",B27)+1,(FIND(":",B27,FIND("/",B27))-FIND("/",B27)-1))),":",SUM(MID(B27,FIND(":",B27)+1,FIND("/",B27)-(FIND(":",B27)+1)),MID(B27,FIND(":",B27,FIND("/",B27))+1,FIND(")",B27)-FIND(":",B27,FIND("/",B27))-1))," ",MID(B27,(FIND(")",B27)+1),100)),CONCATENATE(MID(B27,1,IF(ISNUMBER(SEARCH(" ",B27)),FIND(" ",B27)-1,FIND("(",B27)-1))," ",MID(B27,IF(ISNUMBER(SEARCH("-",B27)),FIND("-",B27)-1),2),SUM(MID(B27,FIND("(",B27)+3,(FIND(":",B27)-(FIND("-",B27)+1))),MID(B27,FIND("_",B27)+1,(FIND(":",B27,FIND("_",B27))-FIND("_",B27)-1))),":",SUM(MID(B27,FIND(":",B27)+1,FIND("_",B27)-(FIND(":",B27)+1)),MID(B27,FIND(":",B27,FIND("_",B27))+1,FIND(")",B27)-FIND(":",B27,FIND("_",B27))-1))," ",MID(B27,(FIND(")",B27)+1),100))),B27),IF(ISNUMBER(SEARCH("(",B27)),IF(ISNUMBER(SEARCH("/",B27)),CONCATENATE(MID(B27,1,IF(ISNUMBER(SEARCH(" ",B27)),FIND(" ",B27)-1,FIND("(",B27)-1))," ",(SUM(MID(B27,FIND("(",B27)+1,FIND(":",B27)-FIND("(",B27)-1),MID(B27,FIND("/",B27)+1,FIND(":",B27,FIND("/",B27))-FIND("/",B27)-1))),":",SUM(MID(B27,FIND(":",B27)+1,FIND("/",B27)-FIND(":",B27)-1),MID(B27,FIND(":",B27,FIND("/",B27))+1,FIND(")",B27)-FIND(":",B27,FIND("/",B27))-1)),MID(B27,(FIND(")",B27)+1),100)),CONCATENATE(MID(B27,1,IF(ISNUMBER(SEARCH(" ",B27)),FIND(" ",B27)-1,FIND("(",B27)-1))," ",(SUM(MID(B27,FIND("(",B27)+1,FIND(":",B27)-FIND("(",B27)-1),MID(B27,FIND("_",B27)+1,FIND(":",B27,FIND("_",B27))-FIND("_",B27)-1))),":",SUM(MID(B27,FIND(":",B27)+1,FIND("_",B27)-FIND(":",B27)-1),MID(B27,FIND(":",B27,FIND("_",B27))+1,FIND(")",B27)-FIND(":",B27,FIND("_",B27))-1)),MID(B27,(FIND(")",B27)+1),100))),B27))</f>
        <v>PC 36:5</v>
      </c>
      <c r="D27" s="29">
        <f>'Enter Values'!B27</f>
        <v>8.2647629762662902</v>
      </c>
      <c r="E27" s="29">
        <f>'Enter Values'!C27</f>
        <v>9.6349198204609703</v>
      </c>
      <c r="F27" s="29">
        <f>'Enter Values'!D27</f>
        <v>6.71826330728382</v>
      </c>
    </row>
    <row r="28" spans="1:6" x14ac:dyDescent="0.2">
      <c r="A28" s="26" t="s">
        <v>429</v>
      </c>
      <c r="B28" s="28" t="str">
        <f>'Enter Values'!A28</f>
        <v>SM d42:1</v>
      </c>
      <c r="C28" s="26" t="str">
        <f>IF(ISNUMBER(SEARCH("(",B28)),IF(ISNUMBER(SEARCH("/",B28)),CONCATENATE(MID(B28,1,IF(ISNUMBER(SEARCH(" ",B28)),FIND(" ",B28)-1,FIND("(",B28)-1))," ","d",(SUM(MID(B28,FIND("(",B28)+2,FIND(":",B28)-FIND("(",B28)-2),MID(B28,FIND("/",B28)+1,FIND(":",B28,FIND("/",B28))-FIND("/",B28)-1))),":",SUM(MID(B28,FIND(":",B28)+1,FIND("/",B28)-FIND(":",B28)-1),MID(B28,FIND(":",B28,FIND("/",B28))+1,FIND(")",B28)-FIND(":",B28,FIND("/",B28))-1)),MID(B28,(FIND(")",B28)+1),100)),CONCATENATE(MID(B28,1,IF(ISNUMBER(SEARCH(" ",B28)),FIND(" ",B28)-1,FIND("(",B28)-1))," ","d",(SUM(MID(B28,FIND("(",B28)+2,FIND(":",B28)-FIND("(",B28)-2),MID(B28,FIND("_",B28)+1,FIND(":",B28,FIND("_",B28))-FIND("_",B28)-1))),":",SUM(MID(B28,FIND(":",B28)+1,FIND("_",B28)-FIND(":",B28)-1),MID(B28,FIND(":",B28,FIND("_",B28))+1,FIND(")",B28)-FIND(":",B28,FIND("_",B28))-1)),MID(B28,(FIND(")",B28)+1),100))),CONCATENATE(MID(B28,1,FIND(" ",B28)-1)," ","d",MID(B28,FIND("d",B28)+1,100)))</f>
        <v>SM d42:1</v>
      </c>
      <c r="D28" s="29">
        <f>'Enter Values'!B28</f>
        <v>9.3482365519979496</v>
      </c>
      <c r="E28" s="29">
        <f>'Enter Values'!C28</f>
        <v>7.9948525455528401</v>
      </c>
      <c r="F28" s="29">
        <f>'Enter Values'!D28</f>
        <v>6.7810690098662603</v>
      </c>
    </row>
    <row r="29" spans="1:6" x14ac:dyDescent="0.2">
      <c r="A29" s="26" t="s">
        <v>427</v>
      </c>
      <c r="B29" s="28" t="str">
        <f>'Enter Values'!A29</f>
        <v>PC O-38:5</v>
      </c>
      <c r="C29" s="26" t="str">
        <f>IF(ISNUMBER(SEARCH("-",B29)),IF(ISNUMBER(SEARCH("(",B29)),IF(ISNUMBER(SEARCH("/",B29)),CONCATENATE(MID(B29,1,IF(ISNUMBER(SEARCH(" ",B29)),FIND(" ",B29)-1,FIND("(",B29)-1))," ",MID(B29,IF(ISNUMBER(SEARCH("-",B29)),FIND("-",B29)-1),2),SUM(MID(B29,FIND("(",B29)+3,(FIND(":",B29)-(FIND("-",B29)+1))),MID(B29,FIND("/",B29)+1,(FIND(":",B29,FIND("/",B29))-FIND("/",B29)-1))),":",SUM(MID(B29,FIND(":",B29)+1,FIND("/",B29)-(FIND(":",B29)+1)),MID(B29,FIND(":",B29,FIND("/",B29))+1,FIND(")",B29)-FIND(":",B29,FIND("/",B29))-1))," ",MID(B29,(FIND(")",B29)+1),100)),CONCATENATE(MID(B29,1,IF(ISNUMBER(SEARCH(" ",B29)),FIND(" ",B29)-1,FIND("(",B29)-1))," ",MID(B29,IF(ISNUMBER(SEARCH("-",B29)),FIND("-",B29)-1),2),SUM(MID(B29,FIND("(",B29)+3,(FIND(":",B29)-(FIND("-",B29)+1))),MID(B29,FIND("_",B29)+1,(FIND(":",B29,FIND("_",B29))-FIND("_",B29)-1))),":",SUM(MID(B29,FIND(":",B29)+1,FIND("_",B29)-(FIND(":",B29)+1)),MID(B29,FIND(":",B29,FIND("_",B29))+1,FIND(")",B29)-FIND(":",B29,FIND("_",B29))-1))," ",MID(B29,(FIND(")",B29)+1),100))),B29),IF(ISNUMBER(SEARCH("(",B29)),IF(ISNUMBER(SEARCH("/",B29)),CONCATENATE(MID(B29,1,IF(ISNUMBER(SEARCH(" ",B29)),FIND(" ",B29)-1,FIND("(",B29)-1))," ",(SUM(MID(B29,FIND("(",B29)+1,FIND(":",B29)-FIND("(",B29)-1),MID(B29,FIND("/",B29)+1,FIND(":",B29,FIND("/",B29))-FIND("/",B29)-1))),":",SUM(MID(B29,FIND(":",B29)+1,FIND("/",B29)-FIND(":",B29)-1),MID(B29,FIND(":",B29,FIND("/",B29))+1,FIND(")",B29)-FIND(":",B29,FIND("/",B29))-1)),MID(B29,(FIND(")",B29)+1),100)),CONCATENATE(MID(B29,1,IF(ISNUMBER(SEARCH(" ",B29)),FIND(" ",B29)-1,FIND("(",B29)-1))," ",(SUM(MID(B29,FIND("(",B29)+1,FIND(":",B29)-FIND("(",B29)-1),MID(B29,FIND("_",B29)+1,FIND(":",B29,FIND("_",B29))-FIND("_",B29)-1))),":",SUM(MID(B29,FIND(":",B29)+1,FIND("_",B29)-FIND(":",B29)-1),MID(B29,FIND(":",B29,FIND("_",B29))+1,FIND(")",B29)-FIND(":",B29,FIND("_",B29))-1)),MID(B29,(FIND(")",B29)+1),100))),B29))</f>
        <v>PC O-38:5</v>
      </c>
      <c r="D29" s="29">
        <f>'Enter Values'!B29</f>
        <v>7.8359945391807102</v>
      </c>
      <c r="E29" s="29">
        <f>'Enter Values'!C29</f>
        <v>8.8540179632201994</v>
      </c>
      <c r="F29" s="29">
        <f>'Enter Values'!D29</f>
        <v>6.1812761994916698</v>
      </c>
    </row>
    <row r="30" spans="1:6" x14ac:dyDescent="0.2">
      <c r="A30" s="26" t="s">
        <v>425</v>
      </c>
      <c r="B30" s="28" t="str">
        <f>'Enter Values'!A30</f>
        <v>LPC 18:2</v>
      </c>
      <c r="C30" s="26" t="str">
        <f>IF(ISNUMBER(SEARCH("-",B30)),IF(ISNUMBER(SEARCH("(",B30)),IF(ISNUMBER(SEARCH("/",B30)),CONCATENATE(MID(B30,1,IF(ISNUMBER(SEARCH(" ",B30)),FIND(" ",B30)-1,FIND("(",B30)-1))," ",MID(B30,IF(ISNUMBER(SEARCH("-",B30)),FIND("-",B30)-1),2),SUM(MID(B30,FIND("(",B30)+3,(FIND(":",B30)-(FIND("-",B30)+1))),MID(B30,FIND("/",B30)+1,(FIND(":",B30,FIND("/",B30))-FIND("/",B30)-1))),":",SUM(MID(B30,FIND(":",B30)+1,FIND("/",B30)-(FIND(":",B30)+1)),MID(B30,FIND(":",B30,FIND("/",B30))+1,FIND(")",B30)-FIND(":",B30,FIND("/",B30))-1))," ",MID(B30,(FIND(")",B30)+1),100)),CONCATENATE(MID(B30,1,IF(ISNUMBER(SEARCH(" ",B30)),FIND(" ",B30)-1,FIND("(",B30)-1))," ",MID(B30,IF(ISNUMBER(SEARCH("-",B30)),FIND("-",B30)-1),2),SUM(MID(B30,FIND("(",B30)+3,(FIND(":",B30)-(FIND("-",B30)+1))),MID(B30,FIND("_",B30)+1,(FIND(":",B30,FIND("_",B30))-FIND("_",B30)-1))),":",SUM(MID(B30,FIND(":",B30)+1,FIND("_",B30)-(FIND(":",B30)+1)),MID(B30,FIND(":",B30,FIND("_",B30))+1,FIND(")",B30)-FIND(":",B30,FIND("_",B30))-1))," ",MID(B30,(FIND(")",B30)+1),100))),B30),IF(ISNUMBER(SEARCH("(",B30)),IF(ISNUMBER(SEARCH("/",B30)),CONCATENATE(MID(B30,1,IF(ISNUMBER(SEARCH(" ",B30)),FIND(" ",B30)-1,FIND("(",B30)-1))," ",(SUM(MID(B30,FIND("(",B30)+1,FIND(":",B30)-FIND("(",B30)-1),MID(B30,FIND("/",B30)+1,FIND(":",B30,FIND("/",B30))-FIND("/",B30)-1))),":",SUM(MID(B30,FIND(":",B30)+1,FIND("/",B30)-FIND(":",B30)-1),MID(B30,FIND(":",B30,FIND("/",B30))+1,FIND(")",B30)-FIND(":",B30,FIND("/",B30))-1)),MID(B30,(FIND(")",B30)+1),100)),CONCATENATE(MID(B30,1,IF(ISNUMBER(SEARCH(" ",B30)),FIND(" ",B30)-1,FIND("(",B30)-1))," ",(SUM(MID(B30,FIND("(",B30)+1,FIND(":",B30)-FIND("(",B30)-1),MID(B30,FIND("_",B30)+1,FIND(":",B30,FIND("_",B30))-FIND("_",B30)-1))),":",SUM(MID(B30,FIND(":",B30)+1,FIND("_",B30)-FIND(":",B30)-1),MID(B30,FIND(":",B30,FIND("_",B30))+1,FIND(")",B30)-FIND(":",B30,FIND("_",B30))-1)),MID(B30,(FIND(")",B30)+1),100))),B30))</f>
        <v>LPC 18:2</v>
      </c>
      <c r="D30" s="29">
        <f>'Enter Values'!B30</f>
        <v>15.7810407441892</v>
      </c>
      <c r="E30" s="29">
        <f>'Enter Values'!C30</f>
        <v>15.962386496856899</v>
      </c>
      <c r="F30" s="29">
        <f>'Enter Values'!D30</f>
        <v>16.321485081042798</v>
      </c>
    </row>
    <row r="31" spans="1:6" x14ac:dyDescent="0.2">
      <c r="A31" s="26" t="s">
        <v>427</v>
      </c>
      <c r="B31" s="28" t="str">
        <f>'Enter Values'!A31</f>
        <v>PC 32:0</v>
      </c>
      <c r="C31" s="26" t="str">
        <f>IF(ISNUMBER(SEARCH("-",B31)),IF(ISNUMBER(SEARCH("(",B31)),IF(ISNUMBER(SEARCH("/",B31)),CONCATENATE(MID(B31,1,IF(ISNUMBER(SEARCH(" ",B31)),FIND(" ",B31)-1,FIND("(",B31)-1))," ",MID(B31,IF(ISNUMBER(SEARCH("-",B31)),FIND("-",B31)-1),2),SUM(MID(B31,FIND("(",B31)+3,(FIND(":",B31)-(FIND("-",B31)+1))),MID(B31,FIND("/",B31)+1,(FIND(":",B31,FIND("/",B31))-FIND("/",B31)-1))),":",SUM(MID(B31,FIND(":",B31)+1,FIND("/",B31)-(FIND(":",B31)+1)),MID(B31,FIND(":",B31,FIND("/",B31))+1,FIND(")",B31)-FIND(":",B31,FIND("/",B31))-1))," ",MID(B31,(FIND(")",B31)+1),100)),CONCATENATE(MID(B31,1,IF(ISNUMBER(SEARCH(" ",B31)),FIND(" ",B31)-1,FIND("(",B31)-1))," ",MID(B31,IF(ISNUMBER(SEARCH("-",B31)),FIND("-",B31)-1),2),SUM(MID(B31,FIND("(",B31)+3,(FIND(":",B31)-(FIND("-",B31)+1))),MID(B31,FIND("_",B31)+1,(FIND(":",B31,FIND("_",B31))-FIND("_",B31)-1))),":",SUM(MID(B31,FIND(":",B31)+1,FIND("_",B31)-(FIND(":",B31)+1)),MID(B31,FIND(":",B31,FIND("_",B31))+1,FIND(")",B31)-FIND(":",B31,FIND("_",B31))-1))," ",MID(B31,(FIND(")",B31)+1),100))),B31),IF(ISNUMBER(SEARCH("(",B31)),IF(ISNUMBER(SEARCH("/",B31)),CONCATENATE(MID(B31,1,IF(ISNUMBER(SEARCH(" ",B31)),FIND(" ",B31)-1,FIND("(",B31)-1))," ",(SUM(MID(B31,FIND("(",B31)+1,FIND(":",B31)-FIND("(",B31)-1),MID(B31,FIND("/",B31)+1,FIND(":",B31,FIND("/",B31))-FIND("/",B31)-1))),":",SUM(MID(B31,FIND(":",B31)+1,FIND("/",B31)-FIND(":",B31)-1),MID(B31,FIND(":",B31,FIND("/",B31))+1,FIND(")",B31)-FIND(":",B31,FIND("/",B31))-1)),MID(B31,(FIND(")",B31)+1),100)),CONCATENATE(MID(B31,1,IF(ISNUMBER(SEARCH(" ",B31)),FIND(" ",B31)-1,FIND("(",B31)-1))," ",(SUM(MID(B31,FIND("(",B31)+1,FIND(":",B31)-FIND("(",B31)-1),MID(B31,FIND("_",B31)+1,FIND(":",B31,FIND("_",B31))-FIND("_",B31)-1))),":",SUM(MID(B31,FIND(":",B31)+1,FIND("_",B31)-FIND(":",B31)-1),MID(B31,FIND(":",B31,FIND("_",B31))+1,FIND(")",B31)-FIND(":",B31,FIND("_",B31))-1)),MID(B31,(FIND(")",B31)+1),100))),B31))</f>
        <v>PC 32:0</v>
      </c>
      <c r="D31" s="29">
        <f>'Enter Values'!B31</f>
        <v>7.3895232953183099</v>
      </c>
      <c r="E31" s="29">
        <f>'Enter Values'!C31</f>
        <v>8.85938414462872</v>
      </c>
      <c r="F31" s="29">
        <f>'Enter Values'!D31</f>
        <v>6.1481034077032799</v>
      </c>
    </row>
    <row r="32" spans="1:6" x14ac:dyDescent="0.2">
      <c r="A32" s="26" t="s">
        <v>429</v>
      </c>
      <c r="B32" s="28" t="str">
        <f>'Enter Values'!A32</f>
        <v>SM d34:2</v>
      </c>
      <c r="C32" s="26" t="str">
        <f>IF(ISNUMBER(SEARCH("(",B32)),IF(ISNUMBER(SEARCH("/",B32)),CONCATENATE(MID(B32,1,IF(ISNUMBER(SEARCH(" ",B32)),FIND(" ",B32)-1,FIND("(",B32)-1))," ","d",(SUM(MID(B32,FIND("(",B32)+2,FIND(":",B32)-FIND("(",B32)-2),MID(B32,FIND("/",B32)+1,FIND(":",B32,FIND("/",B32))-FIND("/",B32)-1))),":",SUM(MID(B32,FIND(":",B32)+1,FIND("/",B32)-FIND(":",B32)-1),MID(B32,FIND(":",B32,FIND("/",B32))+1,FIND(")",B32)-FIND(":",B32,FIND("/",B32))-1)),MID(B32,(FIND(")",B32)+1),100)),CONCATENATE(MID(B32,1,IF(ISNUMBER(SEARCH(" ",B32)),FIND(" ",B32)-1,FIND("(",B32)-1))," ","d",(SUM(MID(B32,FIND("(",B32)+2,FIND(":",B32)-FIND("(",B32)-2),MID(B32,FIND("_",B32)+1,FIND(":",B32,FIND("_",B32))-FIND("_",B32)-1))),":",SUM(MID(B32,FIND(":",B32)+1,FIND("_",B32)-FIND(":",B32)-1),MID(B32,FIND(":",B32,FIND("_",B32))+1,FIND(")",B32)-FIND(":",B32,FIND("_",B32))-1)),MID(B32,(FIND(")",B32)+1),100))),CONCATENATE(MID(B32,1,FIND(" ",B32)-1)," ","d",MID(B32,FIND("d",B32)+1,100)))</f>
        <v>SM d34:2</v>
      </c>
      <c r="D32" s="29">
        <f>'Enter Values'!B32</f>
        <v>8.2774802681394597</v>
      </c>
      <c r="E32" s="29">
        <f>'Enter Values'!C32</f>
        <v>7.8198304448754996</v>
      </c>
      <c r="F32" s="29">
        <f>'Enter Values'!D32</f>
        <v>6.7403237531623104</v>
      </c>
    </row>
    <row r="33" spans="1:6" x14ac:dyDescent="0.2">
      <c r="A33" s="26" t="s">
        <v>441</v>
      </c>
      <c r="B33" s="28" t="str">
        <f>'Enter Values'!A33</f>
        <v>PI 36:2</v>
      </c>
      <c r="C33" s="26" t="str">
        <f>IF(ISNUMBER(SEARCH("-",B33)),IF(ISNUMBER(SEARCH("(",B33)),IF(ISNUMBER(SEARCH("/",B33)),CONCATENATE(MID(B33,1,IF(ISNUMBER(SEARCH(" ",B33)),FIND(" ",B33)-1,FIND("(",B33)-1))," ",MID(B33,IF(ISNUMBER(SEARCH("-",B33)),FIND("-",B33)-1),2),SUM(MID(B33,FIND("(",B33)+3,(FIND(":",B33)-(FIND("-",B33)+1))),MID(B33,FIND("/",B33)+1,(FIND(":",B33,FIND("/",B33))-FIND("/",B33)-1))),":",SUM(MID(B33,FIND(":",B33)+1,FIND("/",B33)-(FIND(":",B33)+1)),MID(B33,FIND(":",B33,FIND("/",B33))+1,FIND(")",B33)-FIND(":",B33,FIND("/",B33))-1))," ",MID(B33,(FIND(")",B33)+1),100)),CONCATENATE(MID(B33,1,IF(ISNUMBER(SEARCH(" ",B33)),FIND(" ",B33)-1,FIND("(",B33)-1))," ",MID(B33,IF(ISNUMBER(SEARCH("-",B33)),FIND("-",B33)-1),2),SUM(MID(B33,FIND("(",B33)+3,(FIND(":",B33)-(FIND("-",B33)+1))),MID(B33,FIND("_",B33)+1,(FIND(":",B33,FIND("_",B33))-FIND("_",B33)-1))),":",SUM(MID(B33,FIND(":",B33)+1,FIND("_",B33)-(FIND(":",B33)+1)),MID(B33,FIND(":",B33,FIND("_",B33))+1,FIND(")",B33)-FIND(":",B33,FIND("_",B33))-1))," ",MID(B33,(FIND(")",B33)+1),100))),B33),IF(ISNUMBER(SEARCH("(",B33)),IF(ISNUMBER(SEARCH("/",B33)),CONCATENATE(MID(B33,1,IF(ISNUMBER(SEARCH(" ",B33)),FIND(" ",B33)-1,FIND("(",B33)-1))," ",(SUM(MID(B33,FIND("(",B33)+1,FIND(":",B33)-FIND("(",B33)-1),MID(B33,FIND("/",B33)+1,FIND(":",B33,FIND("/",B33))-FIND("/",B33)-1))),":",SUM(MID(B33,FIND(":",B33)+1,FIND("/",B33)-FIND(":",B33)-1),MID(B33,FIND(":",B33,FIND("/",B33))+1,FIND(")",B33)-FIND(":",B33,FIND("/",B33))-1)),MID(B33,(FIND(")",B33)+1),100)),CONCATENATE(MID(B33,1,IF(ISNUMBER(SEARCH(" ",B33)),FIND(" ",B33)-1,FIND("(",B33)-1))," ",(SUM(MID(B33,FIND("(",B33)+1,FIND(":",B33)-FIND("(",B33)-1),MID(B33,FIND("_",B33)+1,FIND(":",B33,FIND("_",B33))-FIND("_",B33)-1))),":",SUM(MID(B33,FIND(":",B33)+1,FIND("_",B33)-FIND(":",B33)-1),MID(B33,FIND(":",B33,FIND("_",B33))+1,FIND(")",B33)-FIND(":",B33,FIND("_",B33))-1)),MID(B33,(FIND(")",B33)+1),100))),B33))</f>
        <v>PI 36:2</v>
      </c>
      <c r="D33" s="29">
        <f>'Enter Values'!B33</f>
        <v>6.8955527638841803</v>
      </c>
      <c r="E33" s="29">
        <f>'Enter Values'!C33</f>
        <v>6.2812345774939997</v>
      </c>
      <c r="F33" s="29">
        <f>'Enter Values'!D33</f>
        <v>5.8362435812475804</v>
      </c>
    </row>
    <row r="34" spans="1:6" x14ac:dyDescent="0.2">
      <c r="A34" s="26" t="s">
        <v>428</v>
      </c>
      <c r="B34" s="28" t="str">
        <f>'Enter Values'!A34</f>
        <v>PE 38:4</v>
      </c>
      <c r="C34" s="26" t="str">
        <f>IF(ISNUMBER(SEARCH("-",B34)),IF(ISNUMBER(SEARCH("(",B34)),IF(ISNUMBER(SEARCH("/",B34)),CONCATENATE(MID(B34,1,IF(ISNUMBER(SEARCH(" ",B34)),FIND(" ",B34)-1,FIND("(",B34)-1))," ",MID(B34,IF(ISNUMBER(SEARCH("-",B34)),FIND("-",B34)-1),2),SUM(MID(B34,FIND("(",B34)+3,(FIND(":",B34)-(FIND("-",B34)+1))),MID(B34,FIND("/",B34)+1,(FIND(":",B34,FIND("/",B34))-FIND("/",B34)-1))),":",SUM(MID(B34,FIND(":",B34)+1,FIND("/",B34)-(FIND(":",B34)+1)),MID(B34,FIND(":",B34,FIND("/",B34))+1,FIND(")",B34)-FIND(":",B34,FIND("/",B34))-1))," ",MID(B34,(FIND(")",B34)+1),100)),CONCATENATE(MID(B34,1,IF(ISNUMBER(SEARCH(" ",B34)),FIND(" ",B34)-1,FIND("(",B34)-1))," ",MID(B34,IF(ISNUMBER(SEARCH("-",B34)),FIND("-",B34)-1),2),SUM(MID(B34,FIND("(",B34)+3,(FIND(":",B34)-(FIND("-",B34)+1))),MID(B34,FIND("_",B34)+1,(FIND(":",B34,FIND("_",B34))-FIND("_",B34)-1))),":",SUM(MID(B34,FIND(":",B34)+1,FIND("_",B34)-(FIND(":",B34)+1)),MID(B34,FIND(":",B34,FIND("_",B34))+1,FIND(")",B34)-FIND(":",B34,FIND("_",B34))-1))," ",MID(B34,(FIND(")",B34)+1),100))),B34),IF(ISNUMBER(SEARCH("(",B34)),IF(ISNUMBER(SEARCH("/",B34)),CONCATENATE(MID(B34,1,IF(ISNUMBER(SEARCH(" ",B34)),FIND(" ",B34)-1,FIND("(",B34)-1))," ",(SUM(MID(B34,FIND("(",B34)+1,FIND(":",B34)-FIND("(",B34)-1),MID(B34,FIND("/",B34)+1,FIND(":",B34,FIND("/",B34))-FIND("/",B34)-1))),":",SUM(MID(B34,FIND(":",B34)+1,FIND("/",B34)-FIND(":",B34)-1),MID(B34,FIND(":",B34,FIND("/",B34))+1,FIND(")",B34)-FIND(":",B34,FIND("/",B34))-1)),MID(B34,(FIND(")",B34)+1),100)),CONCATENATE(MID(B34,1,IF(ISNUMBER(SEARCH(" ",B34)),FIND(" ",B34)-1,FIND("(",B34)-1))," ",(SUM(MID(B34,FIND("(",B34)+1,FIND(":",B34)-FIND("(",B34)-1),MID(B34,FIND("_",B34)+1,FIND(":",B34,FIND("_",B34))-FIND("_",B34)-1))),":",SUM(MID(B34,FIND(":",B34)+1,FIND("_",B34)-FIND(":",B34)-1),MID(B34,FIND(":",B34,FIND("_",B34))+1,FIND(")",B34)-FIND(":",B34,FIND("_",B34))-1)),MID(B34,(FIND(")",B34)+1),100))),B34))</f>
        <v>PE 38:4</v>
      </c>
      <c r="D34" s="29">
        <f>'Enter Values'!B34</f>
        <v>2.99163310323708</v>
      </c>
      <c r="E34" s="29">
        <f>'Enter Values'!C34</f>
        <v>3.3556498910853501</v>
      </c>
      <c r="F34" s="29">
        <f>'Enter Values'!D34</f>
        <v>3.1142125174709001</v>
      </c>
    </row>
    <row r="35" spans="1:6" x14ac:dyDescent="0.2">
      <c r="A35" s="26" t="s">
        <v>429</v>
      </c>
      <c r="B35" s="28" t="str">
        <f>'Enter Values'!A35</f>
        <v>SM d41:1</v>
      </c>
      <c r="C35" s="26" t="str">
        <f>IF(ISNUMBER(SEARCH("(",B35)),IF(ISNUMBER(SEARCH("/",B35)),CONCATENATE(MID(B35,1,IF(ISNUMBER(SEARCH(" ",B35)),FIND(" ",B35)-1,FIND("(",B35)-1))," ","d",(SUM(MID(B35,FIND("(",B35)+2,FIND(":",B35)-FIND("(",B35)-2),MID(B35,FIND("/",B35)+1,FIND(":",B35,FIND("/",B35))-FIND("/",B35)-1))),":",SUM(MID(B35,FIND(":",B35)+1,FIND("/",B35)-FIND(":",B35)-1),MID(B35,FIND(":",B35,FIND("/",B35))+1,FIND(")",B35)-FIND(":",B35,FIND("/",B35))-1)),MID(B35,(FIND(")",B35)+1),100)),CONCATENATE(MID(B35,1,IF(ISNUMBER(SEARCH(" ",B35)),FIND(" ",B35)-1,FIND("(",B35)-1))," ","d",(SUM(MID(B35,FIND("(",B35)+2,FIND(":",B35)-FIND("(",B35)-2),MID(B35,FIND("_",B35)+1,FIND(":",B35,FIND("_",B35))-FIND("_",B35)-1))),":",SUM(MID(B35,FIND(":",B35)+1,FIND("_",B35)-FIND(":",B35)-1),MID(B35,FIND(":",B35,FIND("_",B35))+1,FIND(")",B35)-FIND(":",B35,FIND("_",B35))-1)),MID(B35,(FIND(")",B35)+1),100))),CONCATENATE(MID(B35,1,FIND(" ",B35)-1)," ","d",MID(B35,FIND("d",B35)+1,100)))</f>
        <v>SM d41:1</v>
      </c>
      <c r="D35" s="29">
        <f>'Enter Values'!B35</f>
        <v>6.5665171317764903</v>
      </c>
      <c r="E35" s="29">
        <f>'Enter Values'!C35</f>
        <v>5.8219348109517597</v>
      </c>
      <c r="F35" s="29">
        <f>'Enter Values'!D35</f>
        <v>4.6680692115856299</v>
      </c>
    </row>
    <row r="36" spans="1:6" x14ac:dyDescent="0.2">
      <c r="A36" s="26" t="s">
        <v>428</v>
      </c>
      <c r="B36" s="28" t="str">
        <f>'Enter Values'!A36</f>
        <v>PE O-40:6</v>
      </c>
      <c r="C36" s="26" t="str">
        <f>IF(ISNUMBER(SEARCH("-",B36)),IF(ISNUMBER(SEARCH("(",B36)),IF(ISNUMBER(SEARCH("/",B36)),CONCATENATE(MID(B36,1,IF(ISNUMBER(SEARCH(" ",B36)),FIND(" ",B36)-1,FIND("(",B36)-1))," ",MID(B36,IF(ISNUMBER(SEARCH("-",B36)),FIND("-",B36)-1),2),SUM(MID(B36,FIND("(",B36)+3,(FIND(":",B36)-(FIND("-",B36)+1))),MID(B36,FIND("/",B36)+1,(FIND(":",B36,FIND("/",B36))-FIND("/",B36)-1))),":",SUM(MID(B36,FIND(":",B36)+1,FIND("/",B36)-(FIND(":",B36)+1)),MID(B36,FIND(":",B36,FIND("/",B36))+1,FIND(")",B36)-FIND(":",B36,FIND("/",B36))-1))," ",MID(B36,(FIND(")",B36)+1),100)),CONCATENATE(MID(B36,1,IF(ISNUMBER(SEARCH(" ",B36)),FIND(" ",B36)-1,FIND("(",B36)-1))," ",MID(B36,IF(ISNUMBER(SEARCH("-",B36)),FIND("-",B36)-1),2),SUM(MID(B36,FIND("(",B36)+3,(FIND(":",B36)-(FIND("-",B36)+1))),MID(B36,FIND("_",B36)+1,(FIND(":",B36,FIND("_",B36))-FIND("_",B36)-1))),":",SUM(MID(B36,FIND(":",B36)+1,FIND("_",B36)-(FIND(":",B36)+1)),MID(B36,FIND(":",B36,FIND("_",B36))+1,FIND(")",B36)-FIND(":",B36,FIND("_",B36))-1))," ",MID(B36,(FIND(")",B36)+1),100))),B36),IF(ISNUMBER(SEARCH("(",B36)),IF(ISNUMBER(SEARCH("/",B36)),CONCATENATE(MID(B36,1,IF(ISNUMBER(SEARCH(" ",B36)),FIND(" ",B36)-1,FIND("(",B36)-1))," ",(SUM(MID(B36,FIND("(",B36)+1,FIND(":",B36)-FIND("(",B36)-1),MID(B36,FIND("/",B36)+1,FIND(":",B36,FIND("/",B36))-FIND("/",B36)-1))),":",SUM(MID(B36,FIND(":",B36)+1,FIND("/",B36)-FIND(":",B36)-1),MID(B36,FIND(":",B36,FIND("/",B36))+1,FIND(")",B36)-FIND(":",B36,FIND("/",B36))-1)),MID(B36,(FIND(")",B36)+1),100)),CONCATENATE(MID(B36,1,IF(ISNUMBER(SEARCH(" ",B36)),FIND(" ",B36)-1,FIND("(",B36)-1))," ",(SUM(MID(B36,FIND("(",B36)+1,FIND(":",B36)-FIND("(",B36)-1),MID(B36,FIND("_",B36)+1,FIND(":",B36,FIND("_",B36))-FIND("_",B36)-1))),":",SUM(MID(B36,FIND(":",B36)+1,FIND("_",B36)-FIND(":",B36)-1),MID(B36,FIND(":",B36,FIND("_",B36))+1,FIND(")",B36)-FIND(":",B36,FIND("_",B36))-1)),MID(B36,(FIND(")",B36)+1),100))),B36))</f>
        <v>PE O-40:6</v>
      </c>
      <c r="D36" s="29">
        <f>'Enter Values'!B36</f>
        <v>2.7264866434162598</v>
      </c>
      <c r="E36" s="29">
        <f>'Enter Values'!C36</f>
        <v>3.0246520241323198</v>
      </c>
      <c r="F36" s="29">
        <f>'Enter Values'!D36</f>
        <v>3.0677533660281502</v>
      </c>
    </row>
    <row r="37" spans="1:6" x14ac:dyDescent="0.2">
      <c r="A37" s="26" t="s">
        <v>427</v>
      </c>
      <c r="B37" s="28" t="str">
        <f>'Enter Values'!A37</f>
        <v>PC O-38:4</v>
      </c>
      <c r="C37" s="26" t="str">
        <f>IF(ISNUMBER(SEARCH("-",B37)),IF(ISNUMBER(SEARCH("(",B37)),IF(ISNUMBER(SEARCH("/",B37)),CONCATENATE(MID(B37,1,IF(ISNUMBER(SEARCH(" ",B37)),FIND(" ",B37)-1,FIND("(",B37)-1))," ",MID(B37,IF(ISNUMBER(SEARCH("-",B37)),FIND("-",B37)-1),2),SUM(MID(B37,FIND("(",B37)+3,(FIND(":",B37)-(FIND("-",B37)+1))),MID(B37,FIND("/",B37)+1,(FIND(":",B37,FIND("/",B37))-FIND("/",B37)-1))),":",SUM(MID(B37,FIND(":",B37)+1,FIND("/",B37)-(FIND(":",B37)+1)),MID(B37,FIND(":",B37,FIND("/",B37))+1,FIND(")",B37)-FIND(":",B37,FIND("/",B37))-1))," ",MID(B37,(FIND(")",B37)+1),100)),CONCATENATE(MID(B37,1,IF(ISNUMBER(SEARCH(" ",B37)),FIND(" ",B37)-1,FIND("(",B37)-1))," ",MID(B37,IF(ISNUMBER(SEARCH("-",B37)),FIND("-",B37)-1),2),SUM(MID(B37,FIND("(",B37)+3,(FIND(":",B37)-(FIND("-",B37)+1))),MID(B37,FIND("_",B37)+1,(FIND(":",B37,FIND("_",B37))-FIND("_",B37)-1))),":",SUM(MID(B37,FIND(":",B37)+1,FIND("_",B37)-(FIND(":",B37)+1)),MID(B37,FIND(":",B37,FIND("_",B37))+1,FIND(")",B37)-FIND(":",B37,FIND("_",B37))-1))," ",MID(B37,(FIND(")",B37)+1),100))),B37),IF(ISNUMBER(SEARCH("(",B37)),IF(ISNUMBER(SEARCH("/",B37)),CONCATENATE(MID(B37,1,IF(ISNUMBER(SEARCH(" ",B37)),FIND(" ",B37)-1,FIND("(",B37)-1))," ",(SUM(MID(B37,FIND("(",B37)+1,FIND(":",B37)-FIND("(",B37)-1),MID(B37,FIND("/",B37)+1,FIND(":",B37,FIND("/",B37))-FIND("/",B37)-1))),":",SUM(MID(B37,FIND(":",B37)+1,FIND("/",B37)-FIND(":",B37)-1),MID(B37,FIND(":",B37,FIND("/",B37))+1,FIND(")",B37)-FIND(":",B37,FIND("/",B37))-1)),MID(B37,(FIND(")",B37)+1),100)),CONCATENATE(MID(B37,1,IF(ISNUMBER(SEARCH(" ",B37)),FIND(" ",B37)-1,FIND("(",B37)-1))," ",(SUM(MID(B37,FIND("(",B37)+1,FIND(":",B37)-FIND("(",B37)-1),MID(B37,FIND("_",B37)+1,FIND(":",B37,FIND("_",B37))-FIND("_",B37)-1))),":",SUM(MID(B37,FIND(":",B37)+1,FIND("_",B37)-FIND(":",B37)-1),MID(B37,FIND(":",B37,FIND("_",B37))+1,FIND(")",B37)-FIND(":",B37,FIND("_",B37))-1)),MID(B37,(FIND(")",B37)+1),100))),B37))</f>
        <v>PC O-38:4</v>
      </c>
      <c r="D37" s="29">
        <f>'Enter Values'!B37</f>
        <v>5.1498562784228197</v>
      </c>
      <c r="E37" s="29">
        <f>'Enter Values'!C37</f>
        <v>6.2831557938715701</v>
      </c>
      <c r="F37" s="29">
        <f>'Enter Values'!D37</f>
        <v>4.2562896911300596</v>
      </c>
    </row>
    <row r="38" spans="1:6" x14ac:dyDescent="0.2">
      <c r="A38" s="26" t="s">
        <v>429</v>
      </c>
      <c r="B38" s="28" t="str">
        <f>'Enter Values'!A38</f>
        <v>SM d41:2</v>
      </c>
      <c r="C38" s="26" t="str">
        <f>IF(ISNUMBER(SEARCH("(",B38)),IF(ISNUMBER(SEARCH("/",B38)),CONCATENATE(MID(B38,1,IF(ISNUMBER(SEARCH(" ",B38)),FIND(" ",B38)-1,FIND("(",B38)-1))," ","d",(SUM(MID(B38,FIND("(",B38)+2,FIND(":",B38)-FIND("(",B38)-2),MID(B38,FIND("/",B38)+1,FIND(":",B38,FIND("/",B38))-FIND("/",B38)-1))),":",SUM(MID(B38,FIND(":",B38)+1,FIND("/",B38)-FIND(":",B38)-1),MID(B38,FIND(":",B38,FIND("/",B38))+1,FIND(")",B38)-FIND(":",B38,FIND("/",B38))-1)),MID(B38,(FIND(")",B38)+1),100)),CONCATENATE(MID(B38,1,IF(ISNUMBER(SEARCH(" ",B38)),FIND(" ",B38)-1,FIND("(",B38)-1))," ","d",(SUM(MID(B38,FIND("(",B38)+2,FIND(":",B38)-FIND("(",B38)-2),MID(B38,FIND("_",B38)+1,FIND(":",B38,FIND("_",B38))-FIND("_",B38)-1))),":",SUM(MID(B38,FIND(":",B38)+1,FIND("_",B38)-FIND(":",B38)-1),MID(B38,FIND(":",B38,FIND("_",B38))+1,FIND(")",B38)-FIND(":",B38,FIND("_",B38))-1)),MID(B38,(FIND(")",B38)+1),100))),CONCATENATE(MID(B38,1,FIND(" ",B38)-1)," ","d",MID(B38,FIND("d",B38)+1,100)))</f>
        <v>SM d41:2</v>
      </c>
      <c r="D38" s="29">
        <f>'Enter Values'!B38</f>
        <v>5.7726249074757101</v>
      </c>
      <c r="E38" s="29">
        <f>'Enter Values'!C38</f>
        <v>5.0253365980856701</v>
      </c>
      <c r="F38" s="29">
        <f>'Enter Values'!D38</f>
        <v>4.7069596779685199</v>
      </c>
    </row>
    <row r="39" spans="1:6" x14ac:dyDescent="0.2">
      <c r="A39" s="26" t="s">
        <v>427</v>
      </c>
      <c r="B39" s="28" t="str">
        <f>'Enter Values'!A39</f>
        <v>PC O-36:5</v>
      </c>
      <c r="C39" s="26" t="str">
        <f>IF(ISNUMBER(SEARCH("-",B39)),IF(ISNUMBER(SEARCH("(",B39)),IF(ISNUMBER(SEARCH("/",B39)),CONCATENATE(MID(B39,1,IF(ISNUMBER(SEARCH(" ",B39)),FIND(" ",B39)-1,FIND("(",B39)-1))," ",MID(B39,IF(ISNUMBER(SEARCH("-",B39)),FIND("-",B39)-1),2),SUM(MID(B39,FIND("(",B39)+3,(FIND(":",B39)-(FIND("-",B39)+1))),MID(B39,FIND("/",B39)+1,(FIND(":",B39,FIND("/",B39))-FIND("/",B39)-1))),":",SUM(MID(B39,FIND(":",B39)+1,FIND("/",B39)-(FIND(":",B39)+1)),MID(B39,FIND(":",B39,FIND("/",B39))+1,FIND(")",B39)-FIND(":",B39,FIND("/",B39))-1))," ",MID(B39,(FIND(")",B39)+1),100)),CONCATENATE(MID(B39,1,IF(ISNUMBER(SEARCH(" ",B39)),FIND(" ",B39)-1,FIND("(",B39)-1))," ",MID(B39,IF(ISNUMBER(SEARCH("-",B39)),FIND("-",B39)-1),2),SUM(MID(B39,FIND("(",B39)+3,(FIND(":",B39)-(FIND("-",B39)+1))),MID(B39,FIND("_",B39)+1,(FIND(":",B39,FIND("_",B39))-FIND("_",B39)-1))),":",SUM(MID(B39,FIND(":",B39)+1,FIND("_",B39)-(FIND(":",B39)+1)),MID(B39,FIND(":",B39,FIND("_",B39))+1,FIND(")",B39)-FIND(":",B39,FIND("_",B39))-1))," ",MID(B39,(FIND(")",B39)+1),100))),B39),IF(ISNUMBER(SEARCH("(",B39)),IF(ISNUMBER(SEARCH("/",B39)),CONCATENATE(MID(B39,1,IF(ISNUMBER(SEARCH(" ",B39)),FIND(" ",B39)-1,FIND("(",B39)-1))," ",(SUM(MID(B39,FIND("(",B39)+1,FIND(":",B39)-FIND("(",B39)-1),MID(B39,FIND("/",B39)+1,FIND(":",B39,FIND("/",B39))-FIND("/",B39)-1))),":",SUM(MID(B39,FIND(":",B39)+1,FIND("/",B39)-FIND(":",B39)-1),MID(B39,FIND(":",B39,FIND("/",B39))+1,FIND(")",B39)-FIND(":",B39,FIND("/",B39))-1)),MID(B39,(FIND(")",B39)+1),100)),CONCATENATE(MID(B39,1,IF(ISNUMBER(SEARCH(" ",B39)),FIND(" ",B39)-1,FIND("(",B39)-1))," ",(SUM(MID(B39,FIND("(",B39)+1,FIND(":",B39)-FIND("(",B39)-1),MID(B39,FIND("_",B39)+1,FIND(":",B39,FIND("_",B39))-FIND("_",B39)-1))),":",SUM(MID(B39,FIND(":",B39)+1,FIND("_",B39)-FIND(":",B39)-1),MID(B39,FIND(":",B39,FIND("_",B39))+1,FIND(")",B39)-FIND(":",B39,FIND("_",B39))-1)),MID(B39,(FIND(")",B39)+1),100))),B39))</f>
        <v>PC O-36:5</v>
      </c>
      <c r="D39" s="29">
        <f>'Enter Values'!B39</f>
        <v>4.82486774947039</v>
      </c>
      <c r="E39" s="29">
        <f>'Enter Values'!C39</f>
        <v>5.9928775697612799</v>
      </c>
      <c r="F39" s="29">
        <f>'Enter Values'!D39</f>
        <v>4.0231104332072603</v>
      </c>
    </row>
    <row r="40" spans="1:6" x14ac:dyDescent="0.2">
      <c r="A40" s="26" t="s">
        <v>427</v>
      </c>
      <c r="B40" s="28" t="str">
        <f>'Enter Values'!A40</f>
        <v>PC 30:0</v>
      </c>
      <c r="C40" s="26" t="str">
        <f>IF(ISNUMBER(SEARCH("-",B40)),IF(ISNUMBER(SEARCH("(",B40)),IF(ISNUMBER(SEARCH("/",B40)),CONCATENATE(MID(B40,1,IF(ISNUMBER(SEARCH(" ",B40)),FIND(" ",B40)-1,FIND("(",B40)-1))," ",MID(B40,IF(ISNUMBER(SEARCH("-",B40)),FIND("-",B40)-1),2),SUM(MID(B40,FIND("(",B40)+3,(FIND(":",B40)-(FIND("-",B40)+1))),MID(B40,FIND("/",B40)+1,(FIND(":",B40,FIND("/",B40))-FIND("/",B40)-1))),":",SUM(MID(B40,FIND(":",B40)+1,FIND("/",B40)-(FIND(":",B40)+1)),MID(B40,FIND(":",B40,FIND("/",B40))+1,FIND(")",B40)-FIND(":",B40,FIND("/",B40))-1))," ",MID(B40,(FIND(")",B40)+1),100)),CONCATENATE(MID(B40,1,IF(ISNUMBER(SEARCH(" ",B40)),FIND(" ",B40)-1,FIND("(",B40)-1))," ",MID(B40,IF(ISNUMBER(SEARCH("-",B40)),FIND("-",B40)-1),2),SUM(MID(B40,FIND("(",B40)+3,(FIND(":",B40)-(FIND("-",B40)+1))),MID(B40,FIND("_",B40)+1,(FIND(":",B40,FIND("_",B40))-FIND("_",B40)-1))),":",SUM(MID(B40,FIND(":",B40)+1,FIND("_",B40)-(FIND(":",B40)+1)),MID(B40,FIND(":",B40,FIND("_",B40))+1,FIND(")",B40)-FIND(":",B40,FIND("_",B40))-1))," ",MID(B40,(FIND(")",B40)+1),100))),B40),IF(ISNUMBER(SEARCH("(",B40)),IF(ISNUMBER(SEARCH("/",B40)),CONCATENATE(MID(B40,1,IF(ISNUMBER(SEARCH(" ",B40)),FIND(" ",B40)-1,FIND("(",B40)-1))," ",(SUM(MID(B40,FIND("(",B40)+1,FIND(":",B40)-FIND("(",B40)-1),MID(B40,FIND("/",B40)+1,FIND(":",B40,FIND("/",B40))-FIND("/",B40)-1))),":",SUM(MID(B40,FIND(":",B40)+1,FIND("/",B40)-FIND(":",B40)-1),MID(B40,FIND(":",B40,FIND("/",B40))+1,FIND(")",B40)-FIND(":",B40,FIND("/",B40))-1)),MID(B40,(FIND(")",B40)+1),100)),CONCATENATE(MID(B40,1,IF(ISNUMBER(SEARCH(" ",B40)),FIND(" ",B40)-1,FIND("(",B40)-1))," ",(SUM(MID(B40,FIND("(",B40)+1,FIND(":",B40)-FIND("(",B40)-1),MID(B40,FIND("_",B40)+1,FIND(":",B40,FIND("_",B40))-FIND("_",B40)-1))),":",SUM(MID(B40,FIND(":",B40)+1,FIND("_",B40)-FIND(":",B40)-1),MID(B40,FIND(":",B40,FIND("_",B40))+1,FIND(")",B40)-FIND(":",B40,FIND("_",B40))-1)),MID(B40,(FIND(")",B40)+1),100))),B40))</f>
        <v>PC 30:0</v>
      </c>
      <c r="D40" s="29">
        <f>'Enter Values'!B40</f>
        <v>4.7654581381179204</v>
      </c>
      <c r="E40" s="29">
        <f>'Enter Values'!C40</f>
        <v>7.6161165386861498</v>
      </c>
      <c r="F40" s="29">
        <f>'Enter Values'!D40</f>
        <v>4.8420569963485196</v>
      </c>
    </row>
    <row r="41" spans="1:6" x14ac:dyDescent="0.2">
      <c r="A41" s="26" t="s">
        <v>428</v>
      </c>
      <c r="B41" s="28" t="str">
        <f>'Enter Values'!A41</f>
        <v>PE O-38:6</v>
      </c>
      <c r="C41" s="26" t="str">
        <f>IF(ISNUMBER(SEARCH("-",B41)),IF(ISNUMBER(SEARCH("(",B41)),IF(ISNUMBER(SEARCH("/",B41)),CONCATENATE(MID(B41,1,IF(ISNUMBER(SEARCH(" ",B41)),FIND(" ",B41)-1,FIND("(",B41)-1))," ",MID(B41,IF(ISNUMBER(SEARCH("-",B41)),FIND("-",B41)-1),2),SUM(MID(B41,FIND("(",B41)+3,(FIND(":",B41)-(FIND("-",B41)+1))),MID(B41,FIND("/",B41)+1,(FIND(":",B41,FIND("/",B41))-FIND("/",B41)-1))),":",SUM(MID(B41,FIND(":",B41)+1,FIND("/",B41)-(FIND(":",B41)+1)),MID(B41,FIND(":",B41,FIND("/",B41))+1,FIND(")",B41)-FIND(":",B41,FIND("/",B41))-1))," ",MID(B41,(FIND(")",B41)+1),100)),CONCATENATE(MID(B41,1,IF(ISNUMBER(SEARCH(" ",B41)),FIND(" ",B41)-1,FIND("(",B41)-1))," ",MID(B41,IF(ISNUMBER(SEARCH("-",B41)),FIND("-",B41)-1),2),SUM(MID(B41,FIND("(",B41)+3,(FIND(":",B41)-(FIND("-",B41)+1))),MID(B41,FIND("_",B41)+1,(FIND(":",B41,FIND("_",B41))-FIND("_",B41)-1))),":",SUM(MID(B41,FIND(":",B41)+1,FIND("_",B41)-(FIND(":",B41)+1)),MID(B41,FIND(":",B41,FIND("_",B41))+1,FIND(")",B41)-FIND(":",B41,FIND("_",B41))-1))," ",MID(B41,(FIND(")",B41)+1),100))),B41),IF(ISNUMBER(SEARCH("(",B41)),IF(ISNUMBER(SEARCH("/",B41)),CONCATENATE(MID(B41,1,IF(ISNUMBER(SEARCH(" ",B41)),FIND(" ",B41)-1,FIND("(",B41)-1))," ",(SUM(MID(B41,FIND("(",B41)+1,FIND(":",B41)-FIND("(",B41)-1),MID(B41,FIND("/",B41)+1,FIND(":",B41,FIND("/",B41))-FIND("/",B41)-1))),":",SUM(MID(B41,FIND(":",B41)+1,FIND("/",B41)-FIND(":",B41)-1),MID(B41,FIND(":",B41,FIND("/",B41))+1,FIND(")",B41)-FIND(":",B41,FIND("/",B41))-1)),MID(B41,(FIND(")",B41)+1),100)),CONCATENATE(MID(B41,1,IF(ISNUMBER(SEARCH(" ",B41)),FIND(" ",B41)-1,FIND("(",B41)-1))," ",(SUM(MID(B41,FIND("(",B41)+1,FIND(":",B41)-FIND("(",B41)-1),MID(B41,FIND("_",B41)+1,FIND(":",B41,FIND("_",B41))-FIND("_",B41)-1))),":",SUM(MID(B41,FIND(":",B41)+1,FIND("_",B41)-FIND(":",B41)-1),MID(B41,FIND(":",B41,FIND("_",B41))+1,FIND(")",B41)-FIND(":",B41,FIND("_",B41))-1)),MID(B41,(FIND(")",B41)+1),100))),B41))</f>
        <v>PE O-38:6</v>
      </c>
      <c r="D41" s="29">
        <f>'Enter Values'!B41</f>
        <v>2.4254470501065999</v>
      </c>
      <c r="E41" s="29">
        <f>'Enter Values'!C41</f>
        <v>2.57271400493183</v>
      </c>
      <c r="F41" s="29">
        <f>'Enter Values'!D41</f>
        <v>2.2183413055868999</v>
      </c>
    </row>
    <row r="42" spans="1:6" x14ac:dyDescent="0.2">
      <c r="A42" s="26" t="s">
        <v>428</v>
      </c>
      <c r="B42" s="28" t="str">
        <f>'Enter Values'!A42</f>
        <v>PE O-40:5</v>
      </c>
      <c r="C42" s="26" t="str">
        <f>IF(ISNUMBER(SEARCH("-",B42)),IF(ISNUMBER(SEARCH("(",B42)),IF(ISNUMBER(SEARCH("/",B42)),CONCATENATE(MID(B42,1,IF(ISNUMBER(SEARCH(" ",B42)),FIND(" ",B42)-1,FIND("(",B42)-1))," ",MID(B42,IF(ISNUMBER(SEARCH("-",B42)),FIND("-",B42)-1),2),SUM(MID(B42,FIND("(",B42)+3,(FIND(":",B42)-(FIND("-",B42)+1))),MID(B42,FIND("/",B42)+1,(FIND(":",B42,FIND("/",B42))-FIND("/",B42)-1))),":",SUM(MID(B42,FIND(":",B42)+1,FIND("/",B42)-(FIND(":",B42)+1)),MID(B42,FIND(":",B42,FIND("/",B42))+1,FIND(")",B42)-FIND(":",B42,FIND("/",B42))-1))," ",MID(B42,(FIND(")",B42)+1),100)),CONCATENATE(MID(B42,1,IF(ISNUMBER(SEARCH(" ",B42)),FIND(" ",B42)-1,FIND("(",B42)-1))," ",MID(B42,IF(ISNUMBER(SEARCH("-",B42)),FIND("-",B42)-1),2),SUM(MID(B42,FIND("(",B42)+3,(FIND(":",B42)-(FIND("-",B42)+1))),MID(B42,FIND("_",B42)+1,(FIND(":",B42,FIND("_",B42))-FIND("_",B42)-1))),":",SUM(MID(B42,FIND(":",B42)+1,FIND("_",B42)-(FIND(":",B42)+1)),MID(B42,FIND(":",B42,FIND("_",B42))+1,FIND(")",B42)-FIND(":",B42,FIND("_",B42))-1))," ",MID(B42,(FIND(")",B42)+1),100))),B42),IF(ISNUMBER(SEARCH("(",B42)),IF(ISNUMBER(SEARCH("/",B42)),CONCATENATE(MID(B42,1,IF(ISNUMBER(SEARCH(" ",B42)),FIND(" ",B42)-1,FIND("(",B42)-1))," ",(SUM(MID(B42,FIND("(",B42)+1,FIND(":",B42)-FIND("(",B42)-1),MID(B42,FIND("/",B42)+1,FIND(":",B42,FIND("/",B42))-FIND("/",B42)-1))),":",SUM(MID(B42,FIND(":",B42)+1,FIND("/",B42)-FIND(":",B42)-1),MID(B42,FIND(":",B42,FIND("/",B42))+1,FIND(")",B42)-FIND(":",B42,FIND("/",B42))-1)),MID(B42,(FIND(")",B42)+1),100)),CONCATENATE(MID(B42,1,IF(ISNUMBER(SEARCH(" ",B42)),FIND(" ",B42)-1,FIND("(",B42)-1))," ",(SUM(MID(B42,FIND("(",B42)+1,FIND(":",B42)-FIND("(",B42)-1),MID(B42,FIND("_",B42)+1,FIND(":",B42,FIND("_",B42))-FIND("_",B42)-1))),":",SUM(MID(B42,FIND(":",B42)+1,FIND("_",B42)-FIND(":",B42)-1),MID(B42,FIND(":",B42,FIND("_",B42))+1,FIND(")",B42)-FIND(":",B42,FIND("_",B42))-1)),MID(B42,(FIND(")",B42)+1),100))),B42))</f>
        <v>PE O-40:5</v>
      </c>
      <c r="D42" s="29">
        <f>'Enter Values'!B42</f>
        <v>2.2770359738244799</v>
      </c>
      <c r="E42" s="29">
        <f>'Enter Values'!C42</f>
        <v>2.6969559570080102</v>
      </c>
      <c r="F42" s="29">
        <f>'Enter Values'!D42</f>
        <v>2.3380761793442799</v>
      </c>
    </row>
    <row r="43" spans="1:6" x14ac:dyDescent="0.2">
      <c r="A43" s="26" t="s">
        <v>427</v>
      </c>
      <c r="B43" s="28" t="str">
        <f>'Enter Values'!A43</f>
        <v>PC 38:2</v>
      </c>
      <c r="C43" s="26" t="str">
        <f>IF(ISNUMBER(SEARCH("-",B43)),IF(ISNUMBER(SEARCH("(",B43)),IF(ISNUMBER(SEARCH("/",B43)),CONCATENATE(MID(B43,1,IF(ISNUMBER(SEARCH(" ",B43)),FIND(" ",B43)-1,FIND("(",B43)-1))," ",MID(B43,IF(ISNUMBER(SEARCH("-",B43)),FIND("-",B43)-1),2),SUM(MID(B43,FIND("(",B43)+3,(FIND(":",B43)-(FIND("-",B43)+1))),MID(B43,FIND("/",B43)+1,(FIND(":",B43,FIND("/",B43))-FIND("/",B43)-1))),":",SUM(MID(B43,FIND(":",B43)+1,FIND("/",B43)-(FIND(":",B43)+1)),MID(B43,FIND(":",B43,FIND("/",B43))+1,FIND(")",B43)-FIND(":",B43,FIND("/",B43))-1))," ",MID(B43,(FIND(")",B43)+1),100)),CONCATENATE(MID(B43,1,IF(ISNUMBER(SEARCH(" ",B43)),FIND(" ",B43)-1,FIND("(",B43)-1))," ",MID(B43,IF(ISNUMBER(SEARCH("-",B43)),FIND("-",B43)-1),2),SUM(MID(B43,FIND("(",B43)+3,(FIND(":",B43)-(FIND("-",B43)+1))),MID(B43,FIND("_",B43)+1,(FIND(":",B43,FIND("_",B43))-FIND("_",B43)-1))),":",SUM(MID(B43,FIND(":",B43)+1,FIND("_",B43)-(FIND(":",B43)+1)),MID(B43,FIND(":",B43,FIND("_",B43))+1,FIND(")",B43)-FIND(":",B43,FIND("_",B43))-1))," ",MID(B43,(FIND(")",B43)+1),100))),B43),IF(ISNUMBER(SEARCH("(",B43)),IF(ISNUMBER(SEARCH("/",B43)),CONCATENATE(MID(B43,1,IF(ISNUMBER(SEARCH(" ",B43)),FIND(" ",B43)-1,FIND("(",B43)-1))," ",(SUM(MID(B43,FIND("(",B43)+1,FIND(":",B43)-FIND("(",B43)-1),MID(B43,FIND("/",B43)+1,FIND(":",B43,FIND("/",B43))-FIND("/",B43)-1))),":",SUM(MID(B43,FIND(":",B43)+1,FIND("/",B43)-FIND(":",B43)-1),MID(B43,FIND(":",B43,FIND("/",B43))+1,FIND(")",B43)-FIND(":",B43,FIND("/",B43))-1)),MID(B43,(FIND(")",B43)+1),100)),CONCATENATE(MID(B43,1,IF(ISNUMBER(SEARCH(" ",B43)),FIND(" ",B43)-1,FIND("(",B43)-1))," ",(SUM(MID(B43,FIND("(",B43)+1,FIND(":",B43)-FIND("(",B43)-1),MID(B43,FIND("_",B43)+1,FIND(":",B43,FIND("_",B43))-FIND("_",B43)-1))),":",SUM(MID(B43,FIND(":",B43)+1,FIND("_",B43)-FIND(":",B43)-1),MID(B43,FIND(":",B43,FIND("_",B43))+1,FIND(")",B43)-FIND(":",B43,FIND("_",B43))-1)),MID(B43,(FIND(")",B43)+1),100))),B43))</f>
        <v>PC 38:2</v>
      </c>
      <c r="D43" s="29">
        <f>'Enter Values'!B43</f>
        <v>4.3947762982698597</v>
      </c>
      <c r="E43" s="29">
        <f>'Enter Values'!C43</f>
        <v>5.8736494396050798</v>
      </c>
      <c r="F43" s="29">
        <f>'Enter Values'!D43</f>
        <v>3.7356657907661002</v>
      </c>
    </row>
    <row r="44" spans="1:6" x14ac:dyDescent="0.2">
      <c r="A44" s="26" t="s">
        <v>425</v>
      </c>
      <c r="B44" s="28" t="str">
        <f>'Enter Values'!A44</f>
        <v>LPC 18:1</v>
      </c>
      <c r="C44" s="26" t="str">
        <f>IF(ISNUMBER(SEARCH("-",B44)),IF(ISNUMBER(SEARCH("(",B44)),IF(ISNUMBER(SEARCH("/",B44)),CONCATENATE(MID(B44,1,IF(ISNUMBER(SEARCH(" ",B44)),FIND(" ",B44)-1,FIND("(",B44)-1))," ",MID(B44,IF(ISNUMBER(SEARCH("-",B44)),FIND("-",B44)-1),2),SUM(MID(B44,FIND("(",B44)+3,(FIND(":",B44)-(FIND("-",B44)+1))),MID(B44,FIND("/",B44)+1,(FIND(":",B44,FIND("/",B44))-FIND("/",B44)-1))),":",SUM(MID(B44,FIND(":",B44)+1,FIND("/",B44)-(FIND(":",B44)+1)),MID(B44,FIND(":",B44,FIND("/",B44))+1,FIND(")",B44)-FIND(":",B44,FIND("/",B44))-1))," ",MID(B44,(FIND(")",B44)+1),100)),CONCATENATE(MID(B44,1,IF(ISNUMBER(SEARCH(" ",B44)),FIND(" ",B44)-1,FIND("(",B44)-1))," ",MID(B44,IF(ISNUMBER(SEARCH("-",B44)),FIND("-",B44)-1),2),SUM(MID(B44,FIND("(",B44)+3,(FIND(":",B44)-(FIND("-",B44)+1))),MID(B44,FIND("_",B44)+1,(FIND(":",B44,FIND("_",B44))-FIND("_",B44)-1))),":",SUM(MID(B44,FIND(":",B44)+1,FIND("_",B44)-(FIND(":",B44)+1)),MID(B44,FIND(":",B44,FIND("_",B44))+1,FIND(")",B44)-FIND(":",B44,FIND("_",B44))-1))," ",MID(B44,(FIND(")",B44)+1),100))),B44),IF(ISNUMBER(SEARCH("(",B44)),IF(ISNUMBER(SEARCH("/",B44)),CONCATENATE(MID(B44,1,IF(ISNUMBER(SEARCH(" ",B44)),FIND(" ",B44)-1,FIND("(",B44)-1))," ",(SUM(MID(B44,FIND("(",B44)+1,FIND(":",B44)-FIND("(",B44)-1),MID(B44,FIND("/",B44)+1,FIND(":",B44,FIND("/",B44))-FIND("/",B44)-1))),":",SUM(MID(B44,FIND(":",B44)+1,FIND("/",B44)-FIND(":",B44)-1),MID(B44,FIND(":",B44,FIND("/",B44))+1,FIND(")",B44)-FIND(":",B44,FIND("/",B44))-1)),MID(B44,(FIND(")",B44)+1),100)),CONCATENATE(MID(B44,1,IF(ISNUMBER(SEARCH(" ",B44)),FIND(" ",B44)-1,FIND("(",B44)-1))," ",(SUM(MID(B44,FIND("(",B44)+1,FIND(":",B44)-FIND("(",B44)-1),MID(B44,FIND("_",B44)+1,FIND(":",B44,FIND("_",B44))-FIND("_",B44)-1))),":",SUM(MID(B44,FIND(":",B44)+1,FIND("_",B44)-FIND(":",B44)-1),MID(B44,FIND(":",B44,FIND("_",B44))+1,FIND(")",B44)-FIND(":",B44,FIND("_",B44))-1)),MID(B44,(FIND(")",B44)+1),100))),B44))</f>
        <v>LPC 18:1</v>
      </c>
      <c r="D44" s="29">
        <f>'Enter Values'!B44</f>
        <v>8.8738734601471005</v>
      </c>
      <c r="E44" s="29">
        <f>'Enter Values'!C44</f>
        <v>8.6758050009068501</v>
      </c>
      <c r="F44" s="29">
        <f>'Enter Values'!D44</f>
        <v>9.1042378521992404</v>
      </c>
    </row>
    <row r="45" spans="1:6" x14ac:dyDescent="0.2">
      <c r="A45" s="26" t="s">
        <v>428</v>
      </c>
      <c r="B45" s="28" t="str">
        <f>'Enter Values'!A45</f>
        <v>PE O-36:5</v>
      </c>
      <c r="C45" s="26" t="str">
        <f>IF(ISNUMBER(SEARCH("-",B45)),IF(ISNUMBER(SEARCH("(",B45)),IF(ISNUMBER(SEARCH("/",B45)),CONCATENATE(MID(B45,1,IF(ISNUMBER(SEARCH(" ",B45)),FIND(" ",B45)-1,FIND("(",B45)-1))," ",MID(B45,IF(ISNUMBER(SEARCH("-",B45)),FIND("-",B45)-1),2),SUM(MID(B45,FIND("(",B45)+3,(FIND(":",B45)-(FIND("-",B45)+1))),MID(B45,FIND("/",B45)+1,(FIND(":",B45,FIND("/",B45))-FIND("/",B45)-1))),":",SUM(MID(B45,FIND(":",B45)+1,FIND("/",B45)-(FIND(":",B45)+1)),MID(B45,FIND(":",B45,FIND("/",B45))+1,FIND(")",B45)-FIND(":",B45,FIND("/",B45))-1))," ",MID(B45,(FIND(")",B45)+1),100)),CONCATENATE(MID(B45,1,IF(ISNUMBER(SEARCH(" ",B45)),FIND(" ",B45)-1,FIND("(",B45)-1))," ",MID(B45,IF(ISNUMBER(SEARCH("-",B45)),FIND("-",B45)-1),2),SUM(MID(B45,FIND("(",B45)+3,(FIND(":",B45)-(FIND("-",B45)+1))),MID(B45,FIND("_",B45)+1,(FIND(":",B45,FIND("_",B45))-FIND("_",B45)-1))),":",SUM(MID(B45,FIND(":",B45)+1,FIND("_",B45)-(FIND(":",B45)+1)),MID(B45,FIND(":",B45,FIND("_",B45))+1,FIND(")",B45)-FIND(":",B45,FIND("_",B45))-1))," ",MID(B45,(FIND(")",B45)+1),100))),B45),IF(ISNUMBER(SEARCH("(",B45)),IF(ISNUMBER(SEARCH("/",B45)),CONCATENATE(MID(B45,1,IF(ISNUMBER(SEARCH(" ",B45)),FIND(" ",B45)-1,FIND("(",B45)-1))," ",(SUM(MID(B45,FIND("(",B45)+1,FIND(":",B45)-FIND("(",B45)-1),MID(B45,FIND("/",B45)+1,FIND(":",B45,FIND("/",B45))-FIND("/",B45)-1))),":",SUM(MID(B45,FIND(":",B45)+1,FIND("/",B45)-FIND(":",B45)-1),MID(B45,FIND(":",B45,FIND("/",B45))+1,FIND(")",B45)-FIND(":",B45,FIND("/",B45))-1)),MID(B45,(FIND(")",B45)+1),100)),CONCATENATE(MID(B45,1,IF(ISNUMBER(SEARCH(" ",B45)),FIND(" ",B45)-1,FIND("(",B45)-1))," ",(SUM(MID(B45,FIND("(",B45)+1,FIND(":",B45)-FIND("(",B45)-1),MID(B45,FIND("_",B45)+1,FIND(":",B45,FIND("_",B45))-FIND("_",B45)-1))),":",SUM(MID(B45,FIND(":",B45)+1,FIND("_",B45)-FIND(":",B45)-1),MID(B45,FIND(":",B45,FIND("_",B45))+1,FIND(")",B45)-FIND(":",B45,FIND("_",B45))-1)),MID(B45,(FIND(")",B45)+1),100))),B45))</f>
        <v>PE O-36:5</v>
      </c>
      <c r="D45" s="29">
        <f>'Enter Values'!B45</f>
        <v>2.1649461666459802</v>
      </c>
      <c r="E45" s="29">
        <f>'Enter Values'!C45</f>
        <v>2.2544411729564202</v>
      </c>
      <c r="F45" s="29">
        <f>'Enter Values'!D45</f>
        <v>2.1425353592528502</v>
      </c>
    </row>
    <row r="46" spans="1:6" x14ac:dyDescent="0.2">
      <c r="A46" s="26" t="s">
        <v>429</v>
      </c>
      <c r="B46" s="28" t="str">
        <f>'Enter Values'!A46</f>
        <v>SM d36:2</v>
      </c>
      <c r="C46" s="26" t="str">
        <f>IF(ISNUMBER(SEARCH("(",B46)),IF(ISNUMBER(SEARCH("/",B46)),CONCATENATE(MID(B46,1,IF(ISNUMBER(SEARCH(" ",B46)),FIND(" ",B46)-1,FIND("(",B46)-1))," ","d",(SUM(MID(B46,FIND("(",B46)+2,FIND(":",B46)-FIND("(",B46)-2),MID(B46,FIND("/",B46)+1,FIND(":",B46,FIND("/",B46))-FIND("/",B46)-1))),":",SUM(MID(B46,FIND(":",B46)+1,FIND("/",B46)-FIND(":",B46)-1),MID(B46,FIND(":",B46,FIND("/",B46))+1,FIND(")",B46)-FIND(":",B46,FIND("/",B46))-1)),MID(B46,(FIND(")",B46)+1),100)),CONCATENATE(MID(B46,1,IF(ISNUMBER(SEARCH(" ",B46)),FIND(" ",B46)-1,FIND("(",B46)-1))," ","d",(SUM(MID(B46,FIND("(",B46)+2,FIND(":",B46)-FIND("(",B46)-2),MID(B46,FIND("_",B46)+1,FIND(":",B46,FIND("_",B46))-FIND("_",B46)-1))),":",SUM(MID(B46,FIND(":",B46)+1,FIND("_",B46)-FIND(":",B46)-1),MID(B46,FIND(":",B46,FIND("_",B46))+1,FIND(")",B46)-FIND(":",B46,FIND("_",B46))-1)),MID(B46,(FIND(")",B46)+1),100))),CONCATENATE(MID(B46,1,FIND(" ",B46)-1)," ","d",MID(B46,FIND("d",B46)+1,100)))</f>
        <v>SM d36:2</v>
      </c>
      <c r="D46" s="29">
        <f>'Enter Values'!B46</f>
        <v>4.8267340579319997</v>
      </c>
      <c r="E46" s="29">
        <f>'Enter Values'!C46</f>
        <v>4.4666447037873196</v>
      </c>
      <c r="F46" s="29">
        <f>'Enter Values'!D46</f>
        <v>4.14756000508795</v>
      </c>
    </row>
    <row r="47" spans="1:6" x14ac:dyDescent="0.2">
      <c r="A47" s="26" t="s">
        <v>427</v>
      </c>
      <c r="B47" s="28" t="str">
        <f>'Enter Values'!A47</f>
        <v>PC 40:4</v>
      </c>
      <c r="C47" s="26" t="str">
        <f>IF(ISNUMBER(SEARCH("-",B47)),IF(ISNUMBER(SEARCH("(",B47)),IF(ISNUMBER(SEARCH("/",B47)),CONCATENATE(MID(B47,1,IF(ISNUMBER(SEARCH(" ",B47)),FIND(" ",B47)-1,FIND("(",B47)-1))," ",MID(B47,IF(ISNUMBER(SEARCH("-",B47)),FIND("-",B47)-1),2),SUM(MID(B47,FIND("(",B47)+3,(FIND(":",B47)-(FIND("-",B47)+1))),MID(B47,FIND("/",B47)+1,(FIND(":",B47,FIND("/",B47))-FIND("/",B47)-1))),":",SUM(MID(B47,FIND(":",B47)+1,FIND("/",B47)-(FIND(":",B47)+1)),MID(B47,FIND(":",B47,FIND("/",B47))+1,FIND(")",B47)-FIND(":",B47,FIND("/",B47))-1))," ",MID(B47,(FIND(")",B47)+1),100)),CONCATENATE(MID(B47,1,IF(ISNUMBER(SEARCH(" ",B47)),FIND(" ",B47)-1,FIND("(",B47)-1))," ",MID(B47,IF(ISNUMBER(SEARCH("-",B47)),FIND("-",B47)-1),2),SUM(MID(B47,FIND("(",B47)+3,(FIND(":",B47)-(FIND("-",B47)+1))),MID(B47,FIND("_",B47)+1,(FIND(":",B47,FIND("_",B47))-FIND("_",B47)-1))),":",SUM(MID(B47,FIND(":",B47)+1,FIND("_",B47)-(FIND(":",B47)+1)),MID(B47,FIND(":",B47,FIND("_",B47))+1,FIND(")",B47)-FIND(":",B47,FIND("_",B47))-1))," ",MID(B47,(FIND(")",B47)+1),100))),B47),IF(ISNUMBER(SEARCH("(",B47)),IF(ISNUMBER(SEARCH("/",B47)),CONCATENATE(MID(B47,1,IF(ISNUMBER(SEARCH(" ",B47)),FIND(" ",B47)-1,FIND("(",B47)-1))," ",(SUM(MID(B47,FIND("(",B47)+1,FIND(":",B47)-FIND("(",B47)-1),MID(B47,FIND("/",B47)+1,FIND(":",B47,FIND("/",B47))-FIND("/",B47)-1))),":",SUM(MID(B47,FIND(":",B47)+1,FIND("/",B47)-FIND(":",B47)-1),MID(B47,FIND(":",B47,FIND("/",B47))+1,FIND(")",B47)-FIND(":",B47,FIND("/",B47))-1)),MID(B47,(FIND(")",B47)+1),100)),CONCATENATE(MID(B47,1,IF(ISNUMBER(SEARCH(" ",B47)),FIND(" ",B47)-1,FIND("(",B47)-1))," ",(SUM(MID(B47,FIND("(",B47)+1,FIND(":",B47)-FIND("(",B47)-1),MID(B47,FIND("_",B47)+1,FIND(":",B47,FIND("_",B47))-FIND("_",B47)-1))),":",SUM(MID(B47,FIND(":",B47)+1,FIND("_",B47)-FIND(":",B47)-1),MID(B47,FIND(":",B47,FIND("_",B47))+1,FIND(")",B47)-FIND(":",B47,FIND("_",B47))-1)),MID(B47,(FIND(")",B47)+1),100))),B47))</f>
        <v>PC 40:4</v>
      </c>
      <c r="D47" s="29">
        <f>'Enter Values'!B47</f>
        <v>3.8494981311887502</v>
      </c>
      <c r="E47" s="29">
        <f>'Enter Values'!C47</f>
        <v>4.9941922549609901</v>
      </c>
      <c r="F47" s="29">
        <f>'Enter Values'!D47</f>
        <v>3.2575412368151202</v>
      </c>
    </row>
    <row r="48" spans="1:6" x14ac:dyDescent="0.2">
      <c r="A48" s="26" t="s">
        <v>427</v>
      </c>
      <c r="B48" s="28" t="str">
        <f>'Enter Values'!A48</f>
        <v>PC O-34:1</v>
      </c>
      <c r="C48" s="26" t="str">
        <f>IF(ISNUMBER(SEARCH("-",B48)),IF(ISNUMBER(SEARCH("(",B48)),IF(ISNUMBER(SEARCH("/",B48)),CONCATENATE(MID(B48,1,IF(ISNUMBER(SEARCH(" ",B48)),FIND(" ",B48)-1,FIND("(",B48)-1))," ",MID(B48,IF(ISNUMBER(SEARCH("-",B48)),FIND("-",B48)-1),2),SUM(MID(B48,FIND("(",B48)+3,(FIND(":",B48)-(FIND("-",B48)+1))),MID(B48,FIND("/",B48)+1,(FIND(":",B48,FIND("/",B48))-FIND("/",B48)-1))),":",SUM(MID(B48,FIND(":",B48)+1,FIND("/",B48)-(FIND(":",B48)+1)),MID(B48,FIND(":",B48,FIND("/",B48))+1,FIND(")",B48)-FIND(":",B48,FIND("/",B48))-1))," ",MID(B48,(FIND(")",B48)+1),100)),CONCATENATE(MID(B48,1,IF(ISNUMBER(SEARCH(" ",B48)),FIND(" ",B48)-1,FIND("(",B48)-1))," ",MID(B48,IF(ISNUMBER(SEARCH("-",B48)),FIND("-",B48)-1),2),SUM(MID(B48,FIND("(",B48)+3,(FIND(":",B48)-(FIND("-",B48)+1))),MID(B48,FIND("_",B48)+1,(FIND(":",B48,FIND("_",B48))-FIND("_",B48)-1))),":",SUM(MID(B48,FIND(":",B48)+1,FIND("_",B48)-(FIND(":",B48)+1)),MID(B48,FIND(":",B48,FIND("_",B48))+1,FIND(")",B48)-FIND(":",B48,FIND("_",B48))-1))," ",MID(B48,(FIND(")",B48)+1),100))),B48),IF(ISNUMBER(SEARCH("(",B48)),IF(ISNUMBER(SEARCH("/",B48)),CONCATENATE(MID(B48,1,IF(ISNUMBER(SEARCH(" ",B48)),FIND(" ",B48)-1,FIND("(",B48)-1))," ",(SUM(MID(B48,FIND("(",B48)+1,FIND(":",B48)-FIND("(",B48)-1),MID(B48,FIND("/",B48)+1,FIND(":",B48,FIND("/",B48))-FIND("/",B48)-1))),":",SUM(MID(B48,FIND(":",B48)+1,FIND("/",B48)-FIND(":",B48)-1),MID(B48,FIND(":",B48,FIND("/",B48))+1,FIND(")",B48)-FIND(":",B48,FIND("/",B48))-1)),MID(B48,(FIND(")",B48)+1),100)),CONCATENATE(MID(B48,1,IF(ISNUMBER(SEARCH(" ",B48)),FIND(" ",B48)-1,FIND("(",B48)-1))," ",(SUM(MID(B48,FIND("(",B48)+1,FIND(":",B48)-FIND("(",B48)-1),MID(B48,FIND("_",B48)+1,FIND(":",B48,FIND("_",B48))-FIND("_",B48)-1))),":",SUM(MID(B48,FIND(":",B48)+1,FIND("_",B48)-FIND(":",B48)-1),MID(B48,FIND(":",B48,FIND("_",B48))+1,FIND(")",B48)-FIND(":",B48,FIND("_",B48))-1)),MID(B48,(FIND(")",B48)+1),100))),B48))</f>
        <v>PC O-34:1</v>
      </c>
      <c r="D48" s="29">
        <f>'Enter Values'!B48</f>
        <v>3.7781700648178398</v>
      </c>
      <c r="E48" s="29">
        <f>'Enter Values'!C48</f>
        <v>4.7459247232828297</v>
      </c>
      <c r="F48" s="29">
        <f>'Enter Values'!D48</f>
        <v>3.2119377749553801</v>
      </c>
    </row>
    <row r="49" spans="1:6" x14ac:dyDescent="0.2">
      <c r="A49" s="26" t="s">
        <v>427</v>
      </c>
      <c r="B49" s="28" t="str">
        <f>'Enter Values'!A49</f>
        <v>PC O-34:3</v>
      </c>
      <c r="C49" s="26" t="str">
        <f>IF(ISNUMBER(SEARCH("-",B49)),IF(ISNUMBER(SEARCH("(",B49)),IF(ISNUMBER(SEARCH("/",B49)),CONCATENATE(MID(B49,1,IF(ISNUMBER(SEARCH(" ",B49)),FIND(" ",B49)-1,FIND("(",B49)-1))," ",MID(B49,IF(ISNUMBER(SEARCH("-",B49)),FIND("-",B49)-1),2),SUM(MID(B49,FIND("(",B49)+3,(FIND(":",B49)-(FIND("-",B49)+1))),MID(B49,FIND("/",B49)+1,(FIND(":",B49,FIND("/",B49))-FIND("/",B49)-1))),":",SUM(MID(B49,FIND(":",B49)+1,FIND("/",B49)-(FIND(":",B49)+1)),MID(B49,FIND(":",B49,FIND("/",B49))+1,FIND(")",B49)-FIND(":",B49,FIND("/",B49))-1))," ",MID(B49,(FIND(")",B49)+1),100)),CONCATENATE(MID(B49,1,IF(ISNUMBER(SEARCH(" ",B49)),FIND(" ",B49)-1,FIND("(",B49)-1))," ",MID(B49,IF(ISNUMBER(SEARCH("-",B49)),FIND("-",B49)-1),2),SUM(MID(B49,FIND("(",B49)+3,(FIND(":",B49)-(FIND("-",B49)+1))),MID(B49,FIND("_",B49)+1,(FIND(":",B49,FIND("_",B49))-FIND("_",B49)-1))),":",SUM(MID(B49,FIND(":",B49)+1,FIND("_",B49)-(FIND(":",B49)+1)),MID(B49,FIND(":",B49,FIND("_",B49))+1,FIND(")",B49)-FIND(":",B49,FIND("_",B49))-1))," ",MID(B49,(FIND(")",B49)+1),100))),B49),IF(ISNUMBER(SEARCH("(",B49)),IF(ISNUMBER(SEARCH("/",B49)),CONCATENATE(MID(B49,1,IF(ISNUMBER(SEARCH(" ",B49)),FIND(" ",B49)-1,FIND("(",B49)-1))," ",(SUM(MID(B49,FIND("(",B49)+1,FIND(":",B49)-FIND("(",B49)-1),MID(B49,FIND("/",B49)+1,FIND(":",B49,FIND("/",B49))-FIND("/",B49)-1))),":",SUM(MID(B49,FIND(":",B49)+1,FIND("/",B49)-FIND(":",B49)-1),MID(B49,FIND(":",B49,FIND("/",B49))+1,FIND(")",B49)-FIND(":",B49,FIND("/",B49))-1)),MID(B49,(FIND(")",B49)+1),100)),CONCATENATE(MID(B49,1,IF(ISNUMBER(SEARCH(" ",B49)),FIND(" ",B49)-1,FIND("(",B49)-1))," ",(SUM(MID(B49,FIND("(",B49)+1,FIND(":",B49)-FIND("(",B49)-1),MID(B49,FIND("_",B49)+1,FIND(":",B49,FIND("_",B49))-FIND("_",B49)-1))),":",SUM(MID(B49,FIND(":",B49)+1,FIND("_",B49)-FIND(":",B49)-1),MID(B49,FIND(":",B49,FIND("_",B49))+1,FIND(")",B49)-FIND(":",B49,FIND("_",B49))-1)),MID(B49,(FIND(")",B49)+1),100))),B49))</f>
        <v>PC O-34:3</v>
      </c>
      <c r="D49" s="29">
        <f>'Enter Values'!B49</f>
        <v>3.7441495332907002</v>
      </c>
      <c r="E49" s="29">
        <f>'Enter Values'!C49</f>
        <v>4.5176719052769698</v>
      </c>
      <c r="F49" s="29">
        <f>'Enter Values'!D49</f>
        <v>3.0570747774762501</v>
      </c>
    </row>
    <row r="50" spans="1:6" x14ac:dyDescent="0.2">
      <c r="A50" s="26" t="s">
        <v>427</v>
      </c>
      <c r="B50" s="28" t="str">
        <f>'Enter Values'!A50</f>
        <v>PC 40:5</v>
      </c>
      <c r="C50" s="26" t="str">
        <f>IF(ISNUMBER(SEARCH("-",B50)),IF(ISNUMBER(SEARCH("(",B50)),IF(ISNUMBER(SEARCH("/",B50)),CONCATENATE(MID(B50,1,IF(ISNUMBER(SEARCH(" ",B50)),FIND(" ",B50)-1,FIND("(",B50)-1))," ",MID(B50,IF(ISNUMBER(SEARCH("-",B50)),FIND("-",B50)-1),2),SUM(MID(B50,FIND("(",B50)+3,(FIND(":",B50)-(FIND("-",B50)+1))),MID(B50,FIND("/",B50)+1,(FIND(":",B50,FIND("/",B50))-FIND("/",B50)-1))),":",SUM(MID(B50,FIND(":",B50)+1,FIND("/",B50)-(FIND(":",B50)+1)),MID(B50,FIND(":",B50,FIND("/",B50))+1,FIND(")",B50)-FIND(":",B50,FIND("/",B50))-1))," ",MID(B50,(FIND(")",B50)+1),100)),CONCATENATE(MID(B50,1,IF(ISNUMBER(SEARCH(" ",B50)),FIND(" ",B50)-1,FIND("(",B50)-1))," ",MID(B50,IF(ISNUMBER(SEARCH("-",B50)),FIND("-",B50)-1),2),SUM(MID(B50,FIND("(",B50)+3,(FIND(":",B50)-(FIND("-",B50)+1))),MID(B50,FIND("_",B50)+1,(FIND(":",B50,FIND("_",B50))-FIND("_",B50)-1))),":",SUM(MID(B50,FIND(":",B50)+1,FIND("_",B50)-(FIND(":",B50)+1)),MID(B50,FIND(":",B50,FIND("_",B50))+1,FIND(")",B50)-FIND(":",B50,FIND("_",B50))-1))," ",MID(B50,(FIND(")",B50)+1),100))),B50),IF(ISNUMBER(SEARCH("(",B50)),IF(ISNUMBER(SEARCH("/",B50)),CONCATENATE(MID(B50,1,IF(ISNUMBER(SEARCH(" ",B50)),FIND(" ",B50)-1,FIND("(",B50)-1))," ",(SUM(MID(B50,FIND("(",B50)+1,FIND(":",B50)-FIND("(",B50)-1),MID(B50,FIND("/",B50)+1,FIND(":",B50,FIND("/",B50))-FIND("/",B50)-1))),":",SUM(MID(B50,FIND(":",B50)+1,FIND("/",B50)-FIND(":",B50)-1),MID(B50,FIND(":",B50,FIND("/",B50))+1,FIND(")",B50)-FIND(":",B50,FIND("/",B50))-1)),MID(B50,(FIND(")",B50)+1),100)),CONCATENATE(MID(B50,1,IF(ISNUMBER(SEARCH(" ",B50)),FIND(" ",B50)-1,FIND("(",B50)-1))," ",(SUM(MID(B50,FIND("(",B50)+1,FIND(":",B50)-FIND("(",B50)-1),MID(B50,FIND("_",B50)+1,FIND(":",B50,FIND("_",B50))-FIND("_",B50)-1))),":",SUM(MID(B50,FIND(":",B50)+1,FIND("_",B50)-FIND(":",B50)-1),MID(B50,FIND(":",B50,FIND("_",B50))+1,FIND(")",B50)-FIND(":",B50,FIND("_",B50))-1)),MID(B50,(FIND(")",B50)+1),100))),B50))</f>
        <v>PC 40:5</v>
      </c>
      <c r="D50" s="29">
        <f>'Enter Values'!B50</f>
        <v>3.65012537925745</v>
      </c>
      <c r="E50" s="29">
        <f>'Enter Values'!C50</f>
        <v>4.6925591513358098</v>
      </c>
      <c r="F50" s="29">
        <f>'Enter Values'!D50</f>
        <v>3.2226788432177602</v>
      </c>
    </row>
    <row r="51" spans="1:6" x14ac:dyDescent="0.2">
      <c r="A51" s="26" t="s">
        <v>429</v>
      </c>
      <c r="B51" s="28" t="str">
        <f>'Enter Values'!A51</f>
        <v>SM d34:0</v>
      </c>
      <c r="C51" s="26" t="str">
        <f>IF(ISNUMBER(SEARCH("(",B51)),IF(ISNUMBER(SEARCH("/",B51)),CONCATENATE(MID(B51,1,IF(ISNUMBER(SEARCH(" ",B51)),FIND(" ",B51)-1,FIND("(",B51)-1))," ","d",(SUM(MID(B51,FIND("(",B51)+2,FIND(":",B51)-FIND("(",B51)-2),MID(B51,FIND("/",B51)+1,FIND(":",B51,FIND("/",B51))-FIND("/",B51)-1))),":",SUM(MID(B51,FIND(":",B51)+1,FIND("/",B51)-FIND(":",B51)-1),MID(B51,FIND(":",B51,FIND("/",B51))+1,FIND(")",B51)-FIND(":",B51,FIND("/",B51))-1)),MID(B51,(FIND(")",B51)+1),100)),CONCATENATE(MID(B51,1,IF(ISNUMBER(SEARCH(" ",B51)),FIND(" ",B51)-1,FIND("(",B51)-1))," ","d",(SUM(MID(B51,FIND("(",B51)+2,FIND(":",B51)-FIND("(",B51)-2),MID(B51,FIND("_",B51)+1,FIND(":",B51,FIND("_",B51))-FIND("_",B51)-1))),":",SUM(MID(B51,FIND(":",B51)+1,FIND("_",B51)-FIND(":",B51)-1),MID(B51,FIND(":",B51,FIND("_",B51))+1,FIND(")",B51)-FIND(":",B51,FIND("_",B51))-1)),MID(B51,(FIND(")",B51)+1),100))),CONCATENATE(MID(B51,1,FIND(" ",B51)-1)," ","d",MID(B51,FIND("d",B51)+1,100)))</f>
        <v>SM d34:0</v>
      </c>
      <c r="D51" s="29">
        <f>'Enter Values'!B51</f>
        <v>4.2357305651318198</v>
      </c>
      <c r="E51" s="29">
        <f>'Enter Values'!C51</f>
        <v>4.1076292174134297</v>
      </c>
      <c r="F51" s="29">
        <f>'Enter Values'!D51</f>
        <v>3.80560188819608</v>
      </c>
    </row>
    <row r="52" spans="1:6" x14ac:dyDescent="0.2">
      <c r="A52" s="26" t="s">
        <v>428</v>
      </c>
      <c r="B52" s="28" t="str">
        <f>'Enter Values'!A52</f>
        <v>PE 36:1</v>
      </c>
      <c r="C52" s="26" t="str">
        <f>IF(ISNUMBER(SEARCH("-",B52)),IF(ISNUMBER(SEARCH("(",B52)),IF(ISNUMBER(SEARCH("/",B52)),CONCATENATE(MID(B52,1,IF(ISNUMBER(SEARCH(" ",B52)),FIND(" ",B52)-1,FIND("(",B52)-1))," ",MID(B52,IF(ISNUMBER(SEARCH("-",B52)),FIND("-",B52)-1),2),SUM(MID(B52,FIND("(",B52)+3,(FIND(":",B52)-(FIND("-",B52)+1))),MID(B52,FIND("/",B52)+1,(FIND(":",B52,FIND("/",B52))-FIND("/",B52)-1))),":",SUM(MID(B52,FIND(":",B52)+1,FIND("/",B52)-(FIND(":",B52)+1)),MID(B52,FIND(":",B52,FIND("/",B52))+1,FIND(")",B52)-FIND(":",B52,FIND("/",B52))-1))," ",MID(B52,(FIND(")",B52)+1),100)),CONCATENATE(MID(B52,1,IF(ISNUMBER(SEARCH(" ",B52)),FIND(" ",B52)-1,FIND("(",B52)-1))," ",MID(B52,IF(ISNUMBER(SEARCH("-",B52)),FIND("-",B52)-1),2),SUM(MID(B52,FIND("(",B52)+3,(FIND(":",B52)-(FIND("-",B52)+1))),MID(B52,FIND("_",B52)+1,(FIND(":",B52,FIND("_",B52))-FIND("_",B52)-1))),":",SUM(MID(B52,FIND(":",B52)+1,FIND("_",B52)-(FIND(":",B52)+1)),MID(B52,FIND(":",B52,FIND("_",B52))+1,FIND(")",B52)-FIND(":",B52,FIND("_",B52))-1))," ",MID(B52,(FIND(")",B52)+1),100))),B52),IF(ISNUMBER(SEARCH("(",B52)),IF(ISNUMBER(SEARCH("/",B52)),CONCATENATE(MID(B52,1,IF(ISNUMBER(SEARCH(" ",B52)),FIND(" ",B52)-1,FIND("(",B52)-1))," ",(SUM(MID(B52,FIND("(",B52)+1,FIND(":",B52)-FIND("(",B52)-1),MID(B52,FIND("/",B52)+1,FIND(":",B52,FIND("/",B52))-FIND("/",B52)-1))),":",SUM(MID(B52,FIND(":",B52)+1,FIND("/",B52)-FIND(":",B52)-1),MID(B52,FIND(":",B52,FIND("/",B52))+1,FIND(")",B52)-FIND(":",B52,FIND("/",B52))-1)),MID(B52,(FIND(")",B52)+1),100)),CONCATENATE(MID(B52,1,IF(ISNUMBER(SEARCH(" ",B52)),FIND(" ",B52)-1,FIND("(",B52)-1))," ",(SUM(MID(B52,FIND("(",B52)+1,FIND(":",B52)-FIND("(",B52)-1),MID(B52,FIND("_",B52)+1,FIND(":",B52,FIND("_",B52))-FIND("_",B52)-1))),":",SUM(MID(B52,FIND(":",B52)+1,FIND("_",B52)-FIND(":",B52)-1),MID(B52,FIND(":",B52,FIND("_",B52))+1,FIND(")",B52)-FIND(":",B52,FIND("_",B52))-1)),MID(B52,(FIND(")",B52)+1),100))),B52))</f>
        <v>PE 36:1</v>
      </c>
      <c r="D52" s="29">
        <f>'Enter Values'!B52</f>
        <v>1.81157937499</v>
      </c>
      <c r="E52" s="29">
        <f>'Enter Values'!C52</f>
        <v>1.9435796941385901</v>
      </c>
      <c r="F52" s="29">
        <f>'Enter Values'!D52</f>
        <v>1.9686482822740501</v>
      </c>
    </row>
    <row r="53" spans="1:6" x14ac:dyDescent="0.2">
      <c r="A53" s="26" t="s">
        <v>429</v>
      </c>
      <c r="B53" s="28" t="str">
        <f>'Enter Values'!A53</f>
        <v>SM d32:1</v>
      </c>
      <c r="C53" s="26" t="str">
        <f>IF(ISNUMBER(SEARCH("(",B53)),IF(ISNUMBER(SEARCH("/",B53)),CONCATENATE(MID(B53,1,IF(ISNUMBER(SEARCH(" ",B53)),FIND(" ",B53)-1,FIND("(",B53)-1))," ","d",(SUM(MID(B53,FIND("(",B53)+2,FIND(":",B53)-FIND("(",B53)-2),MID(B53,FIND("/",B53)+1,FIND(":",B53,FIND("/",B53))-FIND("/",B53)-1))),":",SUM(MID(B53,FIND(":",B53)+1,FIND("/",B53)-FIND(":",B53)-1),MID(B53,FIND(":",B53,FIND("/",B53))+1,FIND(")",B53)-FIND(":",B53,FIND("/",B53))-1)),MID(B53,(FIND(")",B53)+1),100)),CONCATENATE(MID(B53,1,IF(ISNUMBER(SEARCH(" ",B53)),FIND(" ",B53)-1,FIND("(",B53)-1))," ","d",(SUM(MID(B53,FIND("(",B53)+2,FIND(":",B53)-FIND("(",B53)-2),MID(B53,FIND("_",B53)+1,FIND(":",B53,FIND("_",B53))-FIND("_",B53)-1))),":",SUM(MID(B53,FIND(":",B53)+1,FIND("_",B53)-FIND(":",B53)-1),MID(B53,FIND(":",B53,FIND("_",B53))+1,FIND(")",B53)-FIND(":",B53,FIND("_",B53))-1)),MID(B53,(FIND(")",B53)+1),100))),CONCATENATE(MID(B53,1,FIND(" ",B53)-1)," ","d",MID(B53,FIND("d",B53)+1,100)))</f>
        <v>SM d32:1</v>
      </c>
      <c r="D53" s="29">
        <f>'Enter Values'!B53</f>
        <v>3.96119350349989</v>
      </c>
      <c r="E53" s="29">
        <f>'Enter Values'!C53</f>
        <v>3.6722882309918301</v>
      </c>
      <c r="F53" s="29">
        <f>'Enter Values'!D53</f>
        <v>3.23841903408543</v>
      </c>
    </row>
    <row r="54" spans="1:6" x14ac:dyDescent="0.2">
      <c r="A54" s="26" t="s">
        <v>427</v>
      </c>
      <c r="B54" s="28" t="str">
        <f>'Enter Values'!A54</f>
        <v>PC P-35:1</v>
      </c>
      <c r="C54" s="26" t="str">
        <f>IF(ISNUMBER(SEARCH("-",B54)),IF(ISNUMBER(SEARCH("(",B54)),IF(ISNUMBER(SEARCH("/",B54)),CONCATENATE(MID(B54,1,IF(ISNUMBER(SEARCH(" ",B54)),FIND(" ",B54)-1,FIND("(",B54)-1))," ",MID(B54,IF(ISNUMBER(SEARCH("-",B54)),FIND("-",B54)-1),2),SUM(MID(B54,FIND("(",B54)+3,(FIND(":",B54)-(FIND("-",B54)+1))),MID(B54,FIND("/",B54)+1,(FIND(":",B54,FIND("/",B54))-FIND("/",B54)-1))),":",SUM(MID(B54,FIND(":",B54)+1,FIND("/",B54)-(FIND(":",B54)+1)),MID(B54,FIND(":",B54,FIND("/",B54))+1,FIND(")",B54)-FIND(":",B54,FIND("/",B54))-1))," ",MID(B54,(FIND(")",B54)+1),100)),CONCATENATE(MID(B54,1,IF(ISNUMBER(SEARCH(" ",B54)),FIND(" ",B54)-1,FIND("(",B54)-1))," ",MID(B54,IF(ISNUMBER(SEARCH("-",B54)),FIND("-",B54)-1),2),SUM(MID(B54,FIND("(",B54)+3,(FIND(":",B54)-(FIND("-",B54)+1))),MID(B54,FIND("_",B54)+1,(FIND(":",B54,FIND("_",B54))-FIND("_",B54)-1))),":",SUM(MID(B54,FIND(":",B54)+1,FIND("_",B54)-(FIND(":",B54)+1)),MID(B54,FIND(":",B54,FIND("_",B54))+1,FIND(")",B54)-FIND(":",B54,FIND("_",B54))-1))," ",MID(B54,(FIND(")",B54)+1),100))),B54),IF(ISNUMBER(SEARCH("(",B54)),IF(ISNUMBER(SEARCH("/",B54)),CONCATENATE(MID(B54,1,IF(ISNUMBER(SEARCH(" ",B54)),FIND(" ",B54)-1,FIND("(",B54)-1))," ",(SUM(MID(B54,FIND("(",B54)+1,FIND(":",B54)-FIND("(",B54)-1),MID(B54,FIND("/",B54)+1,FIND(":",B54,FIND("/",B54))-FIND("/",B54)-1))),":",SUM(MID(B54,FIND(":",B54)+1,FIND("/",B54)-FIND(":",B54)-1),MID(B54,FIND(":",B54,FIND("/",B54))+1,FIND(")",B54)-FIND(":",B54,FIND("/",B54))-1)),MID(B54,(FIND(")",B54)+1),100)),CONCATENATE(MID(B54,1,IF(ISNUMBER(SEARCH(" ",B54)),FIND(" ",B54)-1,FIND("(",B54)-1))," ",(SUM(MID(B54,FIND("(",B54)+1,FIND(":",B54)-FIND("(",B54)-1),MID(B54,FIND("_",B54)+1,FIND(":",B54,FIND("_",B54))-FIND("_",B54)-1))),":",SUM(MID(B54,FIND(":",B54)+1,FIND("_",B54)-FIND(":",B54)-1),MID(B54,FIND(":",B54,FIND("_",B54))+1,FIND(")",B54)-FIND(":",B54,FIND("_",B54))-1)),MID(B54,(FIND(")",B54)+1),100))),B54))</f>
        <v>PC P-35:1</v>
      </c>
      <c r="D54" s="29">
        <f>'Enter Values'!B54</f>
        <v>3.1976156119988102</v>
      </c>
      <c r="E54" s="29">
        <f>'Enter Values'!C54</f>
        <v>3.8748798240015501</v>
      </c>
      <c r="F54" s="29">
        <f>'Enter Values'!D54</f>
        <v>2.71327475136244</v>
      </c>
    </row>
    <row r="55" spans="1:6" x14ac:dyDescent="0.2">
      <c r="A55" s="26" t="s">
        <v>426</v>
      </c>
      <c r="B55" s="28" t="str">
        <f>'Enter Values'!A55</f>
        <v>LPE 18:0</v>
      </c>
      <c r="C55" s="26" t="str">
        <f>IF(ISNUMBER(SEARCH("-",B55)),IF(ISNUMBER(SEARCH("(",B55)),IF(ISNUMBER(SEARCH("/",B55)),CONCATENATE(MID(B55,1,IF(ISNUMBER(SEARCH(" ",B55)),FIND(" ",B55)-1,FIND("(",B55)-1))," ",MID(B55,IF(ISNUMBER(SEARCH("-",B55)),FIND("-",B55)-1),2),SUM(MID(B55,FIND("(",B55)+3,(FIND(":",B55)-(FIND("-",B55)+1))),MID(B55,FIND("/",B55)+1,(FIND(":",B55,FIND("/",B55))-FIND("/",B55)-1))),":",SUM(MID(B55,FIND(":",B55)+1,FIND("/",B55)-(FIND(":",B55)+1)),MID(B55,FIND(":",B55,FIND("/",B55))+1,FIND(")",B55)-FIND(":",B55,FIND("/",B55))-1))," ",MID(B55,(FIND(")",B55)+1),100)),CONCATENATE(MID(B55,1,IF(ISNUMBER(SEARCH(" ",B55)),FIND(" ",B55)-1,FIND("(",B55)-1))," ",MID(B55,IF(ISNUMBER(SEARCH("-",B55)),FIND("-",B55)-1),2),SUM(MID(B55,FIND("(",B55)+3,(FIND(":",B55)-(FIND("-",B55)+1))),MID(B55,FIND("_",B55)+1,(FIND(":",B55,FIND("_",B55))-FIND("_",B55)-1))),":",SUM(MID(B55,FIND(":",B55)+1,FIND("_",B55)-(FIND(":",B55)+1)),MID(B55,FIND(":",B55,FIND("_",B55))+1,FIND(")",B55)-FIND(":",B55,FIND("_",B55))-1))," ",MID(B55,(FIND(")",B55)+1),100))),B55),IF(ISNUMBER(SEARCH("(",B55)),IF(ISNUMBER(SEARCH("/",B55)),CONCATENATE(MID(B55,1,IF(ISNUMBER(SEARCH(" ",B55)),FIND(" ",B55)-1,FIND("(",B55)-1))," ",(SUM(MID(B55,FIND("(",B55)+1,FIND(":",B55)-FIND("(",B55)-1),MID(B55,FIND("/",B55)+1,FIND(":",B55,FIND("/",B55))-FIND("/",B55)-1))),":",SUM(MID(B55,FIND(":",B55)+1,FIND("/",B55)-FIND(":",B55)-1),MID(B55,FIND(":",B55,FIND("/",B55))+1,FIND(")",B55)-FIND(":",B55,FIND("/",B55))-1)),MID(B55,(FIND(")",B55)+1),100)),CONCATENATE(MID(B55,1,IF(ISNUMBER(SEARCH(" ",B55)),FIND(" ",B55)-1,FIND("(",B55)-1))," ",(SUM(MID(B55,FIND("(",B55)+1,FIND(":",B55)-FIND("(",B55)-1),MID(B55,FIND("_",B55)+1,FIND(":",B55,FIND("_",B55))-FIND("_",B55)-1))),":",SUM(MID(B55,FIND(":",B55)+1,FIND("_",B55)-FIND(":",B55)-1),MID(B55,FIND(":",B55,FIND("_",B55))+1,FIND(")",B55)-FIND(":",B55,FIND("_",B55))-1)),MID(B55,(FIND(")",B55)+1),100))),B55))</f>
        <v>LPE 18:0</v>
      </c>
      <c r="D55" s="29">
        <f>'Enter Values'!B55</f>
        <v>4.5436372407139398</v>
      </c>
      <c r="E55" s="29">
        <f>'Enter Values'!C55</f>
        <v>4.6968275296457902</v>
      </c>
      <c r="F55" s="29">
        <f>'Enter Values'!D55</f>
        <v>4.9704164807864002</v>
      </c>
    </row>
    <row r="56" spans="1:6" x14ac:dyDescent="0.2">
      <c r="A56" s="26" t="s">
        <v>429</v>
      </c>
      <c r="B56" s="28" t="str">
        <f>'Enter Values'!A56</f>
        <v>SM d39:1</v>
      </c>
      <c r="C56" s="26" t="str">
        <f>IF(ISNUMBER(SEARCH("(",B56)),IF(ISNUMBER(SEARCH("/",B56)),CONCATENATE(MID(B56,1,IF(ISNUMBER(SEARCH(" ",B56)),FIND(" ",B56)-1,FIND("(",B56)-1))," ","d",(SUM(MID(B56,FIND("(",B56)+2,FIND(":",B56)-FIND("(",B56)-2),MID(B56,FIND("/",B56)+1,FIND(":",B56,FIND("/",B56))-FIND("/",B56)-1))),":",SUM(MID(B56,FIND(":",B56)+1,FIND("/",B56)-FIND(":",B56)-1),MID(B56,FIND(":",B56,FIND("/",B56))+1,FIND(")",B56)-FIND(":",B56,FIND("/",B56))-1)),MID(B56,(FIND(")",B56)+1),100)),CONCATENATE(MID(B56,1,IF(ISNUMBER(SEARCH(" ",B56)),FIND(" ",B56)-1,FIND("(",B56)-1))," ","d",(SUM(MID(B56,FIND("(",B56)+2,FIND(":",B56)-FIND("(",B56)-2),MID(B56,FIND("_",B56)+1,FIND(":",B56,FIND("_",B56))-FIND("_",B56)-1))),":",SUM(MID(B56,FIND(":",B56)+1,FIND("_",B56)-FIND(":",B56)-1),MID(B56,FIND(":",B56,FIND("_",B56))+1,FIND(")",B56)-FIND(":",B56,FIND("_",B56))-1)),MID(B56,(FIND(")",B56)+1),100))),CONCATENATE(MID(B56,1,FIND(" ",B56)-1)," ","d",MID(B56,FIND("d",B56)+1,100)))</f>
        <v>SM d39:1</v>
      </c>
      <c r="D56" s="29">
        <f>'Enter Values'!B56</f>
        <v>3.4457546980957701</v>
      </c>
      <c r="E56" s="29">
        <f>'Enter Values'!C56</f>
        <v>3.0170081724806801</v>
      </c>
      <c r="F56" s="29">
        <f>'Enter Values'!D56</f>
        <v>2.7766669022200698</v>
      </c>
    </row>
    <row r="57" spans="1:6" x14ac:dyDescent="0.2">
      <c r="A57" s="26" t="s">
        <v>441</v>
      </c>
      <c r="B57" s="28" t="str">
        <f>'Enter Values'!A57</f>
        <v>PI 38:3</v>
      </c>
      <c r="C57" s="26" t="str">
        <f>IF(ISNUMBER(SEARCH("-",B57)),IF(ISNUMBER(SEARCH("(",B57)),IF(ISNUMBER(SEARCH("/",B57)),CONCATENATE(MID(B57,1,IF(ISNUMBER(SEARCH(" ",B57)),FIND(" ",B57)-1,FIND("(",B57)-1))," ",MID(B57,IF(ISNUMBER(SEARCH("-",B57)),FIND("-",B57)-1),2),SUM(MID(B57,FIND("(",B57)+3,(FIND(":",B57)-(FIND("-",B57)+1))),MID(B57,FIND("/",B57)+1,(FIND(":",B57,FIND("/",B57))-FIND("/",B57)-1))),":",SUM(MID(B57,FIND(":",B57)+1,FIND("/",B57)-(FIND(":",B57)+1)),MID(B57,FIND(":",B57,FIND("/",B57))+1,FIND(")",B57)-FIND(":",B57,FIND("/",B57))-1))," ",MID(B57,(FIND(")",B57)+1),100)),CONCATENATE(MID(B57,1,IF(ISNUMBER(SEARCH(" ",B57)),FIND(" ",B57)-1,FIND("(",B57)-1))," ",MID(B57,IF(ISNUMBER(SEARCH("-",B57)),FIND("-",B57)-1),2),SUM(MID(B57,FIND("(",B57)+3,(FIND(":",B57)-(FIND("-",B57)+1))),MID(B57,FIND("_",B57)+1,(FIND(":",B57,FIND("_",B57))-FIND("_",B57)-1))),":",SUM(MID(B57,FIND(":",B57)+1,FIND("_",B57)-(FIND(":",B57)+1)),MID(B57,FIND(":",B57,FIND("_",B57))+1,FIND(")",B57)-FIND(":",B57,FIND("_",B57))-1))," ",MID(B57,(FIND(")",B57)+1),100))),B57),IF(ISNUMBER(SEARCH("(",B57)),IF(ISNUMBER(SEARCH("/",B57)),CONCATENATE(MID(B57,1,IF(ISNUMBER(SEARCH(" ",B57)),FIND(" ",B57)-1,FIND("(",B57)-1))," ",(SUM(MID(B57,FIND("(",B57)+1,FIND(":",B57)-FIND("(",B57)-1),MID(B57,FIND("/",B57)+1,FIND(":",B57,FIND("/",B57))-FIND("/",B57)-1))),":",SUM(MID(B57,FIND(":",B57)+1,FIND("/",B57)-FIND(":",B57)-1),MID(B57,FIND(":",B57,FIND("/",B57))+1,FIND(")",B57)-FIND(":",B57,FIND("/",B57))-1)),MID(B57,(FIND(")",B57)+1),100)),CONCATENATE(MID(B57,1,IF(ISNUMBER(SEARCH(" ",B57)),FIND(" ",B57)-1,FIND("(",B57)-1))," ",(SUM(MID(B57,FIND("(",B57)+1,FIND(":",B57)-FIND("(",B57)-1),MID(B57,FIND("_",B57)+1,FIND(":",B57,FIND("_",B57))-FIND("_",B57)-1))),":",SUM(MID(B57,FIND(":",B57)+1,FIND("_",B57)-FIND(":",B57)-1),MID(B57,FIND(":",B57,FIND("_",B57))+1,FIND(")",B57)-FIND(":",B57,FIND("_",B57))-1)),MID(B57,(FIND(")",B57)+1),100))),B57))</f>
        <v>PI 38:3</v>
      </c>
      <c r="D57" s="29">
        <f>'Enter Values'!B57</f>
        <v>3.1588430339786302</v>
      </c>
      <c r="E57" s="29">
        <f>'Enter Values'!C57</f>
        <v>2.8857083486634201</v>
      </c>
      <c r="F57" s="29">
        <f>'Enter Values'!D57</f>
        <v>2.6876227478992898</v>
      </c>
    </row>
    <row r="58" spans="1:6" x14ac:dyDescent="0.2">
      <c r="A58" s="26" t="s">
        <v>428</v>
      </c>
      <c r="B58" s="28" t="str">
        <f>'Enter Values'!A58</f>
        <v>PE O-36:3</v>
      </c>
      <c r="C58" s="26" t="str">
        <f>IF(ISNUMBER(SEARCH("-",B58)),IF(ISNUMBER(SEARCH("(",B58)),IF(ISNUMBER(SEARCH("/",B58)),CONCATENATE(MID(B58,1,IF(ISNUMBER(SEARCH(" ",B58)),FIND(" ",B58)-1,FIND("(",B58)-1))," ",MID(B58,IF(ISNUMBER(SEARCH("-",B58)),FIND("-",B58)-1),2),SUM(MID(B58,FIND("(",B58)+3,(FIND(":",B58)-(FIND("-",B58)+1))),MID(B58,FIND("/",B58)+1,(FIND(":",B58,FIND("/",B58))-FIND("/",B58)-1))),":",SUM(MID(B58,FIND(":",B58)+1,FIND("/",B58)-(FIND(":",B58)+1)),MID(B58,FIND(":",B58,FIND("/",B58))+1,FIND(")",B58)-FIND(":",B58,FIND("/",B58))-1))," ",MID(B58,(FIND(")",B58)+1),100)),CONCATENATE(MID(B58,1,IF(ISNUMBER(SEARCH(" ",B58)),FIND(" ",B58)-1,FIND("(",B58)-1))," ",MID(B58,IF(ISNUMBER(SEARCH("-",B58)),FIND("-",B58)-1),2),SUM(MID(B58,FIND("(",B58)+3,(FIND(":",B58)-(FIND("-",B58)+1))),MID(B58,FIND("_",B58)+1,(FIND(":",B58,FIND("_",B58))-FIND("_",B58)-1))),":",SUM(MID(B58,FIND(":",B58)+1,FIND("_",B58)-(FIND(":",B58)+1)),MID(B58,FIND(":",B58,FIND("_",B58))+1,FIND(")",B58)-FIND(":",B58,FIND("_",B58))-1))," ",MID(B58,(FIND(")",B58)+1),100))),B58),IF(ISNUMBER(SEARCH("(",B58)),IF(ISNUMBER(SEARCH("/",B58)),CONCATENATE(MID(B58,1,IF(ISNUMBER(SEARCH(" ",B58)),FIND(" ",B58)-1,FIND("(",B58)-1))," ",(SUM(MID(B58,FIND("(",B58)+1,FIND(":",B58)-FIND("(",B58)-1),MID(B58,FIND("/",B58)+1,FIND(":",B58,FIND("/",B58))-FIND("/",B58)-1))),":",SUM(MID(B58,FIND(":",B58)+1,FIND("/",B58)-FIND(":",B58)-1),MID(B58,FIND(":",B58,FIND("/",B58))+1,FIND(")",B58)-FIND(":",B58,FIND("/",B58))-1)),MID(B58,(FIND(")",B58)+1),100)),CONCATENATE(MID(B58,1,IF(ISNUMBER(SEARCH(" ",B58)),FIND(" ",B58)-1,FIND("(",B58)-1))," ",(SUM(MID(B58,FIND("(",B58)+1,FIND(":",B58)-FIND("(",B58)-1),MID(B58,FIND("_",B58)+1,FIND(":",B58,FIND("_",B58))-FIND("_",B58)-1))),":",SUM(MID(B58,FIND(":",B58)+1,FIND("_",B58)-FIND(":",B58)-1),MID(B58,FIND(":",B58,FIND("_",B58))+1,FIND(")",B58)-FIND(":",B58,FIND("_",B58))-1)),MID(B58,(FIND(")",B58)+1),100))),B58))</f>
        <v>PE O-36:3</v>
      </c>
      <c r="D58" s="29">
        <f>'Enter Values'!B58</f>
        <v>1.4874322901505299</v>
      </c>
      <c r="E58" s="29">
        <f>'Enter Values'!C58</f>
        <v>1.5270549784529599</v>
      </c>
      <c r="F58" s="29">
        <f>'Enter Values'!D58</f>
        <v>1.55387728386179</v>
      </c>
    </row>
    <row r="59" spans="1:6" x14ac:dyDescent="0.2">
      <c r="A59" s="26" t="s">
        <v>441</v>
      </c>
      <c r="B59" s="28" t="str">
        <f>'Enter Values'!A59</f>
        <v>PI 34:2</v>
      </c>
      <c r="C59" s="26" t="str">
        <f>IF(ISNUMBER(SEARCH("-",B59)),IF(ISNUMBER(SEARCH("(",B59)),IF(ISNUMBER(SEARCH("/",B59)),CONCATENATE(MID(B59,1,IF(ISNUMBER(SEARCH(" ",B59)),FIND(" ",B59)-1,FIND("(",B59)-1))," ",MID(B59,IF(ISNUMBER(SEARCH("-",B59)),FIND("-",B59)-1),2),SUM(MID(B59,FIND("(",B59)+3,(FIND(":",B59)-(FIND("-",B59)+1))),MID(B59,FIND("/",B59)+1,(FIND(":",B59,FIND("/",B59))-FIND("/",B59)-1))),":",SUM(MID(B59,FIND(":",B59)+1,FIND("/",B59)-(FIND(":",B59)+1)),MID(B59,FIND(":",B59,FIND("/",B59))+1,FIND(")",B59)-FIND(":",B59,FIND("/",B59))-1))," ",MID(B59,(FIND(")",B59)+1),100)),CONCATENATE(MID(B59,1,IF(ISNUMBER(SEARCH(" ",B59)),FIND(" ",B59)-1,FIND("(",B59)-1))," ",MID(B59,IF(ISNUMBER(SEARCH("-",B59)),FIND("-",B59)-1),2),SUM(MID(B59,FIND("(",B59)+3,(FIND(":",B59)-(FIND("-",B59)+1))),MID(B59,FIND("_",B59)+1,(FIND(":",B59,FIND("_",B59))-FIND("_",B59)-1))),":",SUM(MID(B59,FIND(":",B59)+1,FIND("_",B59)-(FIND(":",B59)+1)),MID(B59,FIND(":",B59,FIND("_",B59))+1,FIND(")",B59)-FIND(":",B59,FIND("_",B59))-1))," ",MID(B59,(FIND(")",B59)+1),100))),B59),IF(ISNUMBER(SEARCH("(",B59)),IF(ISNUMBER(SEARCH("/",B59)),CONCATENATE(MID(B59,1,IF(ISNUMBER(SEARCH(" ",B59)),FIND(" ",B59)-1,FIND("(",B59)-1))," ",(SUM(MID(B59,FIND("(",B59)+1,FIND(":",B59)-FIND("(",B59)-1),MID(B59,FIND("/",B59)+1,FIND(":",B59,FIND("/",B59))-FIND("/",B59)-1))),":",SUM(MID(B59,FIND(":",B59)+1,FIND("/",B59)-FIND(":",B59)-1),MID(B59,FIND(":",B59,FIND("/",B59))+1,FIND(")",B59)-FIND(":",B59,FIND("/",B59))-1)),MID(B59,(FIND(")",B59)+1),100)),CONCATENATE(MID(B59,1,IF(ISNUMBER(SEARCH(" ",B59)),FIND(" ",B59)-1,FIND("(",B59)-1))," ",(SUM(MID(B59,FIND("(",B59)+1,FIND(":",B59)-FIND("(",B59)-1),MID(B59,FIND("_",B59)+1,FIND(":",B59,FIND("_",B59))-FIND("_",B59)-1))),":",SUM(MID(B59,FIND(":",B59)+1,FIND("_",B59)-FIND(":",B59)-1),MID(B59,FIND(":",B59,FIND("_",B59))+1,FIND(")",B59)-FIND(":",B59,FIND("_",B59))-1)),MID(B59,(FIND(")",B59)+1),100))),B59))</f>
        <v>PI 34:2</v>
      </c>
      <c r="D59" s="29">
        <f>'Enter Values'!B59</f>
        <v>2.9205200882792899</v>
      </c>
      <c r="E59" s="29">
        <f>'Enter Values'!C59</f>
        <v>2.7833105398234999</v>
      </c>
      <c r="F59" s="29">
        <f>'Enter Values'!D59</f>
        <v>2.4956062231462699</v>
      </c>
    </row>
    <row r="60" spans="1:6" x14ac:dyDescent="0.2">
      <c r="A60" s="26" t="s">
        <v>441</v>
      </c>
      <c r="B60" s="28" t="str">
        <f>'Enter Values'!A60</f>
        <v>PI 36:4</v>
      </c>
      <c r="C60" s="26" t="str">
        <f>IF(ISNUMBER(SEARCH("-",B60)),IF(ISNUMBER(SEARCH("(",B60)),IF(ISNUMBER(SEARCH("/",B60)),CONCATENATE(MID(B60,1,IF(ISNUMBER(SEARCH(" ",B60)),FIND(" ",B60)-1,FIND("(",B60)-1))," ",MID(B60,IF(ISNUMBER(SEARCH("-",B60)),FIND("-",B60)-1),2),SUM(MID(B60,FIND("(",B60)+3,(FIND(":",B60)-(FIND("-",B60)+1))),MID(B60,FIND("/",B60)+1,(FIND(":",B60,FIND("/",B60))-FIND("/",B60)-1))),":",SUM(MID(B60,FIND(":",B60)+1,FIND("/",B60)-(FIND(":",B60)+1)),MID(B60,FIND(":",B60,FIND("/",B60))+1,FIND(")",B60)-FIND(":",B60,FIND("/",B60))-1))," ",MID(B60,(FIND(")",B60)+1),100)),CONCATENATE(MID(B60,1,IF(ISNUMBER(SEARCH(" ",B60)),FIND(" ",B60)-1,FIND("(",B60)-1))," ",MID(B60,IF(ISNUMBER(SEARCH("-",B60)),FIND("-",B60)-1),2),SUM(MID(B60,FIND("(",B60)+3,(FIND(":",B60)-(FIND("-",B60)+1))),MID(B60,FIND("_",B60)+1,(FIND(":",B60,FIND("_",B60))-FIND("_",B60)-1))),":",SUM(MID(B60,FIND(":",B60)+1,FIND("_",B60)-(FIND(":",B60)+1)),MID(B60,FIND(":",B60,FIND("_",B60))+1,FIND(")",B60)-FIND(":",B60,FIND("_",B60))-1))," ",MID(B60,(FIND(")",B60)+1),100))),B60),IF(ISNUMBER(SEARCH("(",B60)),IF(ISNUMBER(SEARCH("/",B60)),CONCATENATE(MID(B60,1,IF(ISNUMBER(SEARCH(" ",B60)),FIND(" ",B60)-1,FIND("(",B60)-1))," ",(SUM(MID(B60,FIND("(",B60)+1,FIND(":",B60)-FIND("(",B60)-1),MID(B60,FIND("/",B60)+1,FIND(":",B60,FIND("/",B60))-FIND("/",B60)-1))),":",SUM(MID(B60,FIND(":",B60)+1,FIND("/",B60)-FIND(":",B60)-1),MID(B60,FIND(":",B60,FIND("/",B60))+1,FIND(")",B60)-FIND(":",B60,FIND("/",B60))-1)),MID(B60,(FIND(")",B60)+1),100)),CONCATENATE(MID(B60,1,IF(ISNUMBER(SEARCH(" ",B60)),FIND(" ",B60)-1,FIND("(",B60)-1))," ",(SUM(MID(B60,FIND("(",B60)+1,FIND(":",B60)-FIND("(",B60)-1),MID(B60,FIND("_",B60)+1,FIND(":",B60,FIND("_",B60))-FIND("_",B60)-1))),":",SUM(MID(B60,FIND(":",B60)+1,FIND("_",B60)-FIND(":",B60)-1),MID(B60,FIND(":",B60,FIND("_",B60))+1,FIND(")",B60)-FIND(":",B60,FIND("_",B60))-1)),MID(B60,(FIND(")",B60)+1),100))),B60))</f>
        <v>PI 36:4</v>
      </c>
      <c r="D60" s="29">
        <f>'Enter Values'!B60</f>
        <v>2.7574966765745899</v>
      </c>
      <c r="E60" s="29">
        <f>'Enter Values'!C60</f>
        <v>2.7448832177079701</v>
      </c>
      <c r="F60" s="29">
        <f>'Enter Values'!D60</f>
        <v>2.4958747681276598</v>
      </c>
    </row>
    <row r="61" spans="1:6" x14ac:dyDescent="0.2">
      <c r="A61" s="26" t="s">
        <v>427</v>
      </c>
      <c r="B61" s="28" t="str">
        <f>'Enter Values'!A61</f>
        <v>PC O-34:2</v>
      </c>
      <c r="C61" s="26" t="str">
        <f>IF(ISNUMBER(SEARCH("-",B61)),IF(ISNUMBER(SEARCH("(",B61)),IF(ISNUMBER(SEARCH("/",B61)),CONCATENATE(MID(B61,1,IF(ISNUMBER(SEARCH(" ",B61)),FIND(" ",B61)-1,FIND("(",B61)-1))," ",MID(B61,IF(ISNUMBER(SEARCH("-",B61)),FIND("-",B61)-1),2),SUM(MID(B61,FIND("(",B61)+3,(FIND(":",B61)-(FIND("-",B61)+1))),MID(B61,FIND("/",B61)+1,(FIND(":",B61,FIND("/",B61))-FIND("/",B61)-1))),":",SUM(MID(B61,FIND(":",B61)+1,FIND("/",B61)-(FIND(":",B61)+1)),MID(B61,FIND(":",B61,FIND("/",B61))+1,FIND(")",B61)-FIND(":",B61,FIND("/",B61))-1))," ",MID(B61,(FIND(")",B61)+1),100)),CONCATENATE(MID(B61,1,IF(ISNUMBER(SEARCH(" ",B61)),FIND(" ",B61)-1,FIND("(",B61)-1))," ",MID(B61,IF(ISNUMBER(SEARCH("-",B61)),FIND("-",B61)-1),2),SUM(MID(B61,FIND("(",B61)+3,(FIND(":",B61)-(FIND("-",B61)+1))),MID(B61,FIND("_",B61)+1,(FIND(":",B61,FIND("_",B61))-FIND("_",B61)-1))),":",SUM(MID(B61,FIND(":",B61)+1,FIND("_",B61)-(FIND(":",B61)+1)),MID(B61,FIND(":",B61,FIND("_",B61))+1,FIND(")",B61)-FIND(":",B61,FIND("_",B61))-1))," ",MID(B61,(FIND(")",B61)+1),100))),B61),IF(ISNUMBER(SEARCH("(",B61)),IF(ISNUMBER(SEARCH("/",B61)),CONCATENATE(MID(B61,1,IF(ISNUMBER(SEARCH(" ",B61)),FIND(" ",B61)-1,FIND("(",B61)-1))," ",(SUM(MID(B61,FIND("(",B61)+1,FIND(":",B61)-FIND("(",B61)-1),MID(B61,FIND("/",B61)+1,FIND(":",B61,FIND("/",B61))-FIND("/",B61)-1))),":",SUM(MID(B61,FIND(":",B61)+1,FIND("/",B61)-FIND(":",B61)-1),MID(B61,FIND(":",B61,FIND("/",B61))+1,FIND(")",B61)-FIND(":",B61,FIND("/",B61))-1)),MID(B61,(FIND(")",B61)+1),100)),CONCATENATE(MID(B61,1,IF(ISNUMBER(SEARCH(" ",B61)),FIND(" ",B61)-1,FIND("(",B61)-1))," ",(SUM(MID(B61,FIND("(",B61)+1,FIND(":",B61)-FIND("(",B61)-1),MID(B61,FIND("_",B61)+1,FIND(":",B61,FIND("_",B61))-FIND("_",B61)-1))),":",SUM(MID(B61,FIND(":",B61)+1,FIND("_",B61)-FIND(":",B61)-1),MID(B61,FIND(":",B61,FIND("_",B61))+1,FIND(")",B61)-FIND(":",B61,FIND("_",B61))-1)),MID(B61,(FIND(")",B61)+1),100))),B61))</f>
        <v>PC O-34:2</v>
      </c>
      <c r="D61" s="29">
        <f>'Enter Values'!B61</f>
        <v>2.4521648901259701</v>
      </c>
      <c r="E61" s="29">
        <f>'Enter Values'!C61</f>
        <v>3.0869766220541202</v>
      </c>
      <c r="F61" s="29">
        <f>'Enter Values'!D61</f>
        <v>2.0784300587709001</v>
      </c>
    </row>
    <row r="62" spans="1:6" x14ac:dyDescent="0.2">
      <c r="A62" s="26" t="s">
        <v>429</v>
      </c>
      <c r="B62" s="28" t="str">
        <f>'Enter Values'!A62</f>
        <v>SM d38:2</v>
      </c>
      <c r="C62" s="26" t="str">
        <f>IF(ISNUMBER(SEARCH("(",B62)),IF(ISNUMBER(SEARCH("/",B62)),CONCATENATE(MID(B62,1,IF(ISNUMBER(SEARCH(" ",B62)),FIND(" ",B62)-1,FIND("(",B62)-1))," ","d",(SUM(MID(B62,FIND("(",B62)+2,FIND(":",B62)-FIND("(",B62)-2),MID(B62,FIND("/",B62)+1,FIND(":",B62,FIND("/",B62))-FIND("/",B62)-1))),":",SUM(MID(B62,FIND(":",B62)+1,FIND("/",B62)-FIND(":",B62)-1),MID(B62,FIND(":",B62,FIND("/",B62))+1,FIND(")",B62)-FIND(":",B62,FIND("/",B62))-1)),MID(B62,(FIND(")",B62)+1),100)),CONCATENATE(MID(B62,1,IF(ISNUMBER(SEARCH(" ",B62)),FIND(" ",B62)-1,FIND("(",B62)-1))," ","d",(SUM(MID(B62,FIND("(",B62)+2,FIND(":",B62)-FIND("(",B62)-2),MID(B62,FIND("_",B62)+1,FIND(":",B62,FIND("_",B62))-FIND("_",B62)-1))),":",SUM(MID(B62,FIND(":",B62)+1,FIND("_",B62)-FIND(":",B62)-1),MID(B62,FIND(":",B62,FIND("_",B62))+1,FIND(")",B62)-FIND(":",B62,FIND("_",B62))-1)),MID(B62,(FIND(")",B62)+1),100))),CONCATENATE(MID(B62,1,FIND(" ",B62)-1)," ","d",MID(B62,FIND("d",B62)+1,100)))</f>
        <v>SM d38:2</v>
      </c>
      <c r="D62" s="29">
        <f>'Enter Values'!B62</f>
        <v>2.7191626039279999</v>
      </c>
      <c r="E62" s="29">
        <f>'Enter Values'!C62</f>
        <v>2.6555825356949798</v>
      </c>
      <c r="F62" s="29">
        <f>'Enter Values'!D62</f>
        <v>2.1867936256679501</v>
      </c>
    </row>
    <row r="63" spans="1:6" x14ac:dyDescent="0.2">
      <c r="A63" s="26" t="s">
        <v>425</v>
      </c>
      <c r="B63" s="28" t="str">
        <f>'Enter Values'!A63</f>
        <v>LPC 20:4</v>
      </c>
      <c r="C63" s="26" t="str">
        <f>IF(ISNUMBER(SEARCH("-",B63)),IF(ISNUMBER(SEARCH("(",B63)),IF(ISNUMBER(SEARCH("/",B63)),CONCATENATE(MID(B63,1,IF(ISNUMBER(SEARCH(" ",B63)),FIND(" ",B63)-1,FIND("(",B63)-1))," ",MID(B63,IF(ISNUMBER(SEARCH("-",B63)),FIND("-",B63)-1),2),SUM(MID(B63,FIND("(",B63)+3,(FIND(":",B63)-(FIND("-",B63)+1))),MID(B63,FIND("/",B63)+1,(FIND(":",B63,FIND("/",B63))-FIND("/",B63)-1))),":",SUM(MID(B63,FIND(":",B63)+1,FIND("/",B63)-(FIND(":",B63)+1)),MID(B63,FIND(":",B63,FIND("/",B63))+1,FIND(")",B63)-FIND(":",B63,FIND("/",B63))-1))," ",MID(B63,(FIND(")",B63)+1),100)),CONCATENATE(MID(B63,1,IF(ISNUMBER(SEARCH(" ",B63)),FIND(" ",B63)-1,FIND("(",B63)-1))," ",MID(B63,IF(ISNUMBER(SEARCH("-",B63)),FIND("-",B63)-1),2),SUM(MID(B63,FIND("(",B63)+3,(FIND(":",B63)-(FIND("-",B63)+1))),MID(B63,FIND("_",B63)+1,(FIND(":",B63,FIND("_",B63))-FIND("_",B63)-1))),":",SUM(MID(B63,FIND(":",B63)+1,FIND("_",B63)-(FIND(":",B63)+1)),MID(B63,FIND(":",B63,FIND("_",B63))+1,FIND(")",B63)-FIND(":",B63,FIND("_",B63))-1))," ",MID(B63,(FIND(")",B63)+1),100))),B63),IF(ISNUMBER(SEARCH("(",B63)),IF(ISNUMBER(SEARCH("/",B63)),CONCATENATE(MID(B63,1,IF(ISNUMBER(SEARCH(" ",B63)),FIND(" ",B63)-1,FIND("(",B63)-1))," ",(SUM(MID(B63,FIND("(",B63)+1,FIND(":",B63)-FIND("(",B63)-1),MID(B63,FIND("/",B63)+1,FIND(":",B63,FIND("/",B63))-FIND("/",B63)-1))),":",SUM(MID(B63,FIND(":",B63)+1,FIND("/",B63)-FIND(":",B63)-1),MID(B63,FIND(":",B63,FIND("/",B63))+1,FIND(")",B63)-FIND(":",B63,FIND("/",B63))-1)),MID(B63,(FIND(")",B63)+1),100)),CONCATENATE(MID(B63,1,IF(ISNUMBER(SEARCH(" ",B63)),FIND(" ",B63)-1,FIND("(",B63)-1))," ",(SUM(MID(B63,FIND("(",B63)+1,FIND(":",B63)-FIND("(",B63)-1),MID(B63,FIND("_",B63)+1,FIND(":",B63,FIND("_",B63))-FIND("_",B63)-1))),":",SUM(MID(B63,FIND(":",B63)+1,FIND("_",B63)-FIND(":",B63)-1),MID(B63,FIND(":",B63,FIND("_",B63))+1,FIND(")",B63)-FIND(":",B63,FIND("_",B63))-1)),MID(B63,(FIND(")",B63)+1),100))),B63))</f>
        <v>LPC 20:4</v>
      </c>
      <c r="D63" s="29">
        <f>'Enter Values'!B63</f>
        <v>4.5784190703329202</v>
      </c>
      <c r="E63" s="29">
        <f>'Enter Values'!C63</f>
        <v>4.61909475842499</v>
      </c>
      <c r="F63" s="29">
        <f>'Enter Values'!D63</f>
        <v>4.8573486265703201</v>
      </c>
    </row>
    <row r="64" spans="1:6" x14ac:dyDescent="0.2">
      <c r="A64" s="26" t="s">
        <v>429</v>
      </c>
      <c r="B64" s="28" t="str">
        <f>'Enter Values'!A64</f>
        <v>SM d33:1</v>
      </c>
      <c r="C64" s="26" t="str">
        <f>IF(ISNUMBER(SEARCH("(",B64)),IF(ISNUMBER(SEARCH("/",B64)),CONCATENATE(MID(B64,1,IF(ISNUMBER(SEARCH(" ",B64)),FIND(" ",B64)-1,FIND("(",B64)-1))," ","d",(SUM(MID(B64,FIND("(",B64)+2,FIND(":",B64)-FIND("(",B64)-2),MID(B64,FIND("/",B64)+1,FIND(":",B64,FIND("/",B64))-FIND("/",B64)-1))),":",SUM(MID(B64,FIND(":",B64)+1,FIND("/",B64)-FIND(":",B64)-1),MID(B64,FIND(":",B64,FIND("/",B64))+1,FIND(")",B64)-FIND(":",B64,FIND("/",B64))-1)),MID(B64,(FIND(")",B64)+1),100)),CONCATENATE(MID(B64,1,IF(ISNUMBER(SEARCH(" ",B64)),FIND(" ",B64)-1,FIND("(",B64)-1))," ","d",(SUM(MID(B64,FIND("(",B64)+2,FIND(":",B64)-FIND("(",B64)-2),MID(B64,FIND("_",B64)+1,FIND(":",B64,FIND("_",B64))-FIND("_",B64)-1))),":",SUM(MID(B64,FIND(":",B64)+1,FIND("_",B64)-FIND(":",B64)-1),MID(B64,FIND(":",B64,FIND("_",B64))+1,FIND(")",B64)-FIND(":",B64,FIND("_",B64))-1)),MID(B64,(FIND(")",B64)+1),100))),CONCATENATE(MID(B64,1,FIND(" ",B64)-1)," ","d",MID(B64,FIND("d",B64)+1,100)))</f>
        <v>SM d33:1</v>
      </c>
      <c r="D64" s="29">
        <f>'Enter Values'!B64</f>
        <v>2.4573980145890202</v>
      </c>
      <c r="E64" s="29">
        <f>'Enter Values'!C64</f>
        <v>2.33016440359971</v>
      </c>
      <c r="F64" s="29">
        <f>'Enter Values'!D64</f>
        <v>2.0796683836368302</v>
      </c>
    </row>
    <row r="65" spans="1:6" x14ac:dyDescent="0.2">
      <c r="A65" s="26" t="s">
        <v>428</v>
      </c>
      <c r="B65" s="28" t="str">
        <f>'Enter Values'!A65</f>
        <v>PE O-40:7</v>
      </c>
      <c r="C65" s="26" t="str">
        <f>IF(ISNUMBER(SEARCH("-",B65)),IF(ISNUMBER(SEARCH("(",B65)),IF(ISNUMBER(SEARCH("/",B65)),CONCATENATE(MID(B65,1,IF(ISNUMBER(SEARCH(" ",B65)),FIND(" ",B65)-1,FIND("(",B65)-1))," ",MID(B65,IF(ISNUMBER(SEARCH("-",B65)),FIND("-",B65)-1),2),SUM(MID(B65,FIND("(",B65)+3,(FIND(":",B65)-(FIND("-",B65)+1))),MID(B65,FIND("/",B65)+1,(FIND(":",B65,FIND("/",B65))-FIND("/",B65)-1))),":",SUM(MID(B65,FIND(":",B65)+1,FIND("/",B65)-(FIND(":",B65)+1)),MID(B65,FIND(":",B65,FIND("/",B65))+1,FIND(")",B65)-FIND(":",B65,FIND("/",B65))-1))," ",MID(B65,(FIND(")",B65)+1),100)),CONCATENATE(MID(B65,1,IF(ISNUMBER(SEARCH(" ",B65)),FIND(" ",B65)-1,FIND("(",B65)-1))," ",MID(B65,IF(ISNUMBER(SEARCH("-",B65)),FIND("-",B65)-1),2),SUM(MID(B65,FIND("(",B65)+3,(FIND(":",B65)-(FIND("-",B65)+1))),MID(B65,FIND("_",B65)+1,(FIND(":",B65,FIND("_",B65))-FIND("_",B65)-1))),":",SUM(MID(B65,FIND(":",B65)+1,FIND("_",B65)-(FIND(":",B65)+1)),MID(B65,FIND(":",B65,FIND("_",B65))+1,FIND(")",B65)-FIND(":",B65,FIND("_",B65))-1))," ",MID(B65,(FIND(")",B65)+1),100))),B65),IF(ISNUMBER(SEARCH("(",B65)),IF(ISNUMBER(SEARCH("/",B65)),CONCATENATE(MID(B65,1,IF(ISNUMBER(SEARCH(" ",B65)),FIND(" ",B65)-1,FIND("(",B65)-1))," ",(SUM(MID(B65,FIND("(",B65)+1,FIND(":",B65)-FIND("(",B65)-1),MID(B65,FIND("/",B65)+1,FIND(":",B65,FIND("/",B65))-FIND("/",B65)-1))),":",SUM(MID(B65,FIND(":",B65)+1,FIND("/",B65)-FIND(":",B65)-1),MID(B65,FIND(":",B65,FIND("/",B65))+1,FIND(")",B65)-FIND(":",B65,FIND("/",B65))-1)),MID(B65,(FIND(")",B65)+1),100)),CONCATENATE(MID(B65,1,IF(ISNUMBER(SEARCH(" ",B65)),FIND(" ",B65)-1,FIND("(",B65)-1))," ",(SUM(MID(B65,FIND("(",B65)+1,FIND(":",B65)-FIND("(",B65)-1),MID(B65,FIND("_",B65)+1,FIND(":",B65,FIND("_",B65))-FIND("_",B65)-1))),":",SUM(MID(B65,FIND(":",B65)+1,FIND("_",B65)-FIND(":",B65)-1),MID(B65,FIND(":",B65,FIND("_",B65))+1,FIND(")",B65)-FIND(":",B65,FIND("_",B65))-1)),MID(B65,(FIND(")",B65)+1),100))),B65))</f>
        <v>PE O-40:7</v>
      </c>
      <c r="D65" s="29">
        <f>'Enter Values'!B65</f>
        <v>1.05677774985499</v>
      </c>
      <c r="E65" s="29">
        <f>'Enter Values'!C65</f>
        <v>1.12072765379498</v>
      </c>
      <c r="F65" s="29">
        <f>'Enter Values'!D65</f>
        <v>1.06501115487791</v>
      </c>
    </row>
    <row r="66" spans="1:6" x14ac:dyDescent="0.2">
      <c r="A66" s="26" t="s">
        <v>441</v>
      </c>
      <c r="B66" s="28" t="str">
        <f>'Enter Values'!A66</f>
        <v>PI 36:1</v>
      </c>
      <c r="C66" s="26" t="str">
        <f>IF(ISNUMBER(SEARCH("-",B66)),IF(ISNUMBER(SEARCH("(",B66)),IF(ISNUMBER(SEARCH("/",B66)),CONCATENATE(MID(B66,1,IF(ISNUMBER(SEARCH(" ",B66)),FIND(" ",B66)-1,FIND("(",B66)-1))," ",MID(B66,IF(ISNUMBER(SEARCH("-",B66)),FIND("-",B66)-1),2),SUM(MID(B66,FIND("(",B66)+3,(FIND(":",B66)-(FIND("-",B66)+1))),MID(B66,FIND("/",B66)+1,(FIND(":",B66,FIND("/",B66))-FIND("/",B66)-1))),":",SUM(MID(B66,FIND(":",B66)+1,FIND("/",B66)-(FIND(":",B66)+1)),MID(B66,FIND(":",B66,FIND("/",B66))+1,FIND(")",B66)-FIND(":",B66,FIND("/",B66))-1))," ",MID(B66,(FIND(")",B66)+1),100)),CONCATENATE(MID(B66,1,IF(ISNUMBER(SEARCH(" ",B66)),FIND(" ",B66)-1,FIND("(",B66)-1))," ",MID(B66,IF(ISNUMBER(SEARCH("-",B66)),FIND("-",B66)-1),2),SUM(MID(B66,FIND("(",B66)+3,(FIND(":",B66)-(FIND("-",B66)+1))),MID(B66,FIND("_",B66)+1,(FIND(":",B66,FIND("_",B66))-FIND("_",B66)-1))),":",SUM(MID(B66,FIND(":",B66)+1,FIND("_",B66)-(FIND(":",B66)+1)),MID(B66,FIND(":",B66,FIND("_",B66))+1,FIND(")",B66)-FIND(":",B66,FIND("_",B66))-1))," ",MID(B66,(FIND(")",B66)+1),100))),B66),IF(ISNUMBER(SEARCH("(",B66)),IF(ISNUMBER(SEARCH("/",B66)),CONCATENATE(MID(B66,1,IF(ISNUMBER(SEARCH(" ",B66)),FIND(" ",B66)-1,FIND("(",B66)-1))," ",(SUM(MID(B66,FIND("(",B66)+1,FIND(":",B66)-FIND("(",B66)-1),MID(B66,FIND("/",B66)+1,FIND(":",B66,FIND("/",B66))-FIND("/",B66)-1))),":",SUM(MID(B66,FIND(":",B66)+1,FIND("/",B66)-FIND(":",B66)-1),MID(B66,FIND(":",B66,FIND("/",B66))+1,FIND(")",B66)-FIND(":",B66,FIND("/",B66))-1)),MID(B66,(FIND(")",B66)+1),100)),CONCATENATE(MID(B66,1,IF(ISNUMBER(SEARCH(" ",B66)),FIND(" ",B66)-1,FIND("(",B66)-1))," ",(SUM(MID(B66,FIND("(",B66)+1,FIND(":",B66)-FIND("(",B66)-1),MID(B66,FIND("_",B66)+1,FIND(":",B66,FIND("_",B66))-FIND("_",B66)-1))),":",SUM(MID(B66,FIND(":",B66)+1,FIND("_",B66)-FIND(":",B66)-1),MID(B66,FIND(":",B66,FIND("_",B66))+1,FIND(")",B66)-FIND(":",B66,FIND("_",B66))-1)),MID(B66,(FIND(")",B66)+1),100))),B66))</f>
        <v>PI 36:1</v>
      </c>
      <c r="D66" s="29">
        <f>'Enter Values'!B66</f>
        <v>1.8216248931760499</v>
      </c>
      <c r="E66" s="29">
        <f>'Enter Values'!C66</f>
        <v>1.7431766700887801</v>
      </c>
      <c r="F66" s="29">
        <f>'Enter Values'!D66</f>
        <v>1.68117914286505</v>
      </c>
    </row>
    <row r="67" spans="1:6" x14ac:dyDescent="0.2">
      <c r="A67" s="26" t="s">
        <v>427</v>
      </c>
      <c r="B67" s="28" t="str">
        <f>'Enter Values'!A67</f>
        <v>PC O-32:0</v>
      </c>
      <c r="C67" s="26" t="str">
        <f>IF(ISNUMBER(SEARCH("-",B67)),IF(ISNUMBER(SEARCH("(",B67)),IF(ISNUMBER(SEARCH("/",B67)),CONCATENATE(MID(B67,1,IF(ISNUMBER(SEARCH(" ",B67)),FIND(" ",B67)-1,FIND("(",B67)-1))," ",MID(B67,IF(ISNUMBER(SEARCH("-",B67)),FIND("-",B67)-1),2),SUM(MID(B67,FIND("(",B67)+3,(FIND(":",B67)-(FIND("-",B67)+1))),MID(B67,FIND("/",B67)+1,(FIND(":",B67,FIND("/",B67))-FIND("/",B67)-1))),":",SUM(MID(B67,FIND(":",B67)+1,FIND("/",B67)-(FIND(":",B67)+1)),MID(B67,FIND(":",B67,FIND("/",B67))+1,FIND(")",B67)-FIND(":",B67,FIND("/",B67))-1))," ",MID(B67,(FIND(")",B67)+1),100)),CONCATENATE(MID(B67,1,IF(ISNUMBER(SEARCH(" ",B67)),FIND(" ",B67)-1,FIND("(",B67)-1))," ",MID(B67,IF(ISNUMBER(SEARCH("-",B67)),FIND("-",B67)-1),2),SUM(MID(B67,FIND("(",B67)+3,(FIND(":",B67)-(FIND("-",B67)+1))),MID(B67,FIND("_",B67)+1,(FIND(":",B67,FIND("_",B67))-FIND("_",B67)-1))),":",SUM(MID(B67,FIND(":",B67)+1,FIND("_",B67)-(FIND(":",B67)+1)),MID(B67,FIND(":",B67,FIND("_",B67))+1,FIND(")",B67)-FIND(":",B67,FIND("_",B67))-1))," ",MID(B67,(FIND(")",B67)+1),100))),B67),IF(ISNUMBER(SEARCH("(",B67)),IF(ISNUMBER(SEARCH("/",B67)),CONCATENATE(MID(B67,1,IF(ISNUMBER(SEARCH(" ",B67)),FIND(" ",B67)-1,FIND("(",B67)-1))," ",(SUM(MID(B67,FIND("(",B67)+1,FIND(":",B67)-FIND("(",B67)-1),MID(B67,FIND("/",B67)+1,FIND(":",B67,FIND("/",B67))-FIND("/",B67)-1))),":",SUM(MID(B67,FIND(":",B67)+1,FIND("/",B67)-FIND(":",B67)-1),MID(B67,FIND(":",B67,FIND("/",B67))+1,FIND(")",B67)-FIND(":",B67,FIND("/",B67))-1)),MID(B67,(FIND(")",B67)+1),100)),CONCATENATE(MID(B67,1,IF(ISNUMBER(SEARCH(" ",B67)),FIND(" ",B67)-1,FIND("(",B67)-1))," ",(SUM(MID(B67,FIND("(",B67)+1,FIND(":",B67)-FIND("(",B67)-1),MID(B67,FIND("_",B67)+1,FIND(":",B67,FIND("_",B67))-FIND("_",B67)-1))),":",SUM(MID(B67,FIND(":",B67)+1,FIND("_",B67)-FIND(":",B67)-1),MID(B67,FIND(":",B67,FIND("_",B67))+1,FIND(")",B67)-FIND(":",B67,FIND("_",B67))-1)),MID(B67,(FIND(")",B67)+1),100))),B67))</f>
        <v>PC O-32:0</v>
      </c>
      <c r="D67" s="29">
        <f>'Enter Values'!B67</f>
        <v>1.56428801718361</v>
      </c>
      <c r="E67" s="29">
        <f>'Enter Values'!C67</f>
        <v>1.9997810958961899</v>
      </c>
      <c r="F67" s="29">
        <f>'Enter Values'!D67</f>
        <v>1.3946604218566601</v>
      </c>
    </row>
    <row r="68" spans="1:6" x14ac:dyDescent="0.2">
      <c r="A68" s="26" t="s">
        <v>427</v>
      </c>
      <c r="B68" s="28" t="str">
        <f>'Enter Values'!A68</f>
        <v>PC O-38:6</v>
      </c>
      <c r="C68" s="26" t="str">
        <f>IF(ISNUMBER(SEARCH("-",B68)),IF(ISNUMBER(SEARCH("(",B68)),IF(ISNUMBER(SEARCH("/",B68)),CONCATENATE(MID(B68,1,IF(ISNUMBER(SEARCH(" ",B68)),FIND(" ",B68)-1,FIND("(",B68)-1))," ",MID(B68,IF(ISNUMBER(SEARCH("-",B68)),FIND("-",B68)-1),2),SUM(MID(B68,FIND("(",B68)+3,(FIND(":",B68)-(FIND("-",B68)+1))),MID(B68,FIND("/",B68)+1,(FIND(":",B68,FIND("/",B68))-FIND("/",B68)-1))),":",SUM(MID(B68,FIND(":",B68)+1,FIND("/",B68)-(FIND(":",B68)+1)),MID(B68,FIND(":",B68,FIND("/",B68))+1,FIND(")",B68)-FIND(":",B68,FIND("/",B68))-1))," ",MID(B68,(FIND(")",B68)+1),100)),CONCATENATE(MID(B68,1,IF(ISNUMBER(SEARCH(" ",B68)),FIND(" ",B68)-1,FIND("(",B68)-1))," ",MID(B68,IF(ISNUMBER(SEARCH("-",B68)),FIND("-",B68)-1),2),SUM(MID(B68,FIND("(",B68)+3,(FIND(":",B68)-(FIND("-",B68)+1))),MID(B68,FIND("_",B68)+1,(FIND(":",B68,FIND("_",B68))-FIND("_",B68)-1))),":",SUM(MID(B68,FIND(":",B68)+1,FIND("_",B68)-(FIND(":",B68)+1)),MID(B68,FIND(":",B68,FIND("_",B68))+1,FIND(")",B68)-FIND(":",B68,FIND("_",B68))-1))," ",MID(B68,(FIND(")",B68)+1),100))),B68),IF(ISNUMBER(SEARCH("(",B68)),IF(ISNUMBER(SEARCH("/",B68)),CONCATENATE(MID(B68,1,IF(ISNUMBER(SEARCH(" ",B68)),FIND(" ",B68)-1,FIND("(",B68)-1))," ",(SUM(MID(B68,FIND("(",B68)+1,FIND(":",B68)-FIND("(",B68)-1),MID(B68,FIND("/",B68)+1,FIND(":",B68,FIND("/",B68))-FIND("/",B68)-1))),":",SUM(MID(B68,FIND(":",B68)+1,FIND("/",B68)-FIND(":",B68)-1),MID(B68,FIND(":",B68,FIND("/",B68))+1,FIND(")",B68)-FIND(":",B68,FIND("/",B68))-1)),MID(B68,(FIND(")",B68)+1),100)),CONCATENATE(MID(B68,1,IF(ISNUMBER(SEARCH(" ",B68)),FIND(" ",B68)-1,FIND("(",B68)-1))," ",(SUM(MID(B68,FIND("(",B68)+1,FIND(":",B68)-FIND("(",B68)-1),MID(B68,FIND("_",B68)+1,FIND(":",B68,FIND("_",B68))-FIND("_",B68)-1))),":",SUM(MID(B68,FIND(":",B68)+1,FIND("_",B68)-FIND(":",B68)-1),MID(B68,FIND(":",B68,FIND("_",B68))+1,FIND(")",B68)-FIND(":",B68,FIND("_",B68))-1)),MID(B68,(FIND(")",B68)+1),100))),B68))</f>
        <v>PC O-38:6</v>
      </c>
      <c r="D68" s="29">
        <f>'Enter Values'!B68</f>
        <v>1.5573752330330299</v>
      </c>
      <c r="E68" s="29">
        <f>'Enter Values'!C68</f>
        <v>2.0252184111086402</v>
      </c>
      <c r="F68" s="29">
        <f>'Enter Values'!D68</f>
        <v>2.1014393885214999</v>
      </c>
    </row>
    <row r="69" spans="1:6" x14ac:dyDescent="0.2">
      <c r="A69" s="26" t="s">
        <v>429</v>
      </c>
      <c r="B69" s="28" t="str">
        <f>'Enter Values'!A69</f>
        <v>SM d36:3</v>
      </c>
      <c r="C69" s="26" t="str">
        <f>IF(ISNUMBER(SEARCH("(",B69)),IF(ISNUMBER(SEARCH("/",B69)),CONCATENATE(MID(B69,1,IF(ISNUMBER(SEARCH(" ",B69)),FIND(" ",B69)-1,FIND("(",B69)-1))," ","d",(SUM(MID(B69,FIND("(",B69)+2,FIND(":",B69)-FIND("(",B69)-2),MID(B69,FIND("/",B69)+1,FIND(":",B69,FIND("/",B69))-FIND("/",B69)-1))),":",SUM(MID(B69,FIND(":",B69)+1,FIND("/",B69)-FIND(":",B69)-1),MID(B69,FIND(":",B69,FIND("/",B69))+1,FIND(")",B69)-FIND(":",B69,FIND("/",B69))-1)),MID(B69,(FIND(")",B69)+1),100)),CONCATENATE(MID(B69,1,IF(ISNUMBER(SEARCH(" ",B69)),FIND(" ",B69)-1,FIND("(",B69)-1))," ","d",(SUM(MID(B69,FIND("(",B69)+2,FIND(":",B69)-FIND("(",B69)-2),MID(B69,FIND("_",B69)+1,FIND(":",B69,FIND("_",B69))-FIND("_",B69)-1))),":",SUM(MID(B69,FIND(":",B69)+1,FIND("_",B69)-FIND(":",B69)-1),MID(B69,FIND(":",B69,FIND("_",B69))+1,FIND(")",B69)-FIND(":",B69,FIND("_",B69))-1)),MID(B69,(FIND(")",B69)+1),100))),CONCATENATE(MID(B69,1,FIND(" ",B69)-1)," ","d",MID(B69,FIND("d",B69)+1,100)))</f>
        <v>SM d36:3</v>
      </c>
      <c r="D69" s="29">
        <f>'Enter Values'!B69</f>
        <v>1.8254707448034999</v>
      </c>
      <c r="E69" s="29">
        <f>'Enter Values'!C69</f>
        <v>1.69592698826597</v>
      </c>
      <c r="F69" s="29">
        <f>'Enter Values'!D69</f>
        <v>1.71666475654271</v>
      </c>
    </row>
    <row r="70" spans="1:6" x14ac:dyDescent="0.2">
      <c r="A70" s="26" t="s">
        <v>428</v>
      </c>
      <c r="B70" s="28" t="str">
        <f>'Enter Values'!A70</f>
        <v>PE 38:3</v>
      </c>
      <c r="C70" s="26" t="str">
        <f>IF(ISNUMBER(SEARCH("-",B70)),IF(ISNUMBER(SEARCH("(",B70)),IF(ISNUMBER(SEARCH("/",B70)),CONCATENATE(MID(B70,1,IF(ISNUMBER(SEARCH(" ",B70)),FIND(" ",B70)-1,FIND("(",B70)-1))," ",MID(B70,IF(ISNUMBER(SEARCH("-",B70)),FIND("-",B70)-1),2),SUM(MID(B70,FIND("(",B70)+3,(FIND(":",B70)-(FIND("-",B70)+1))),MID(B70,FIND("/",B70)+1,(FIND(":",B70,FIND("/",B70))-FIND("/",B70)-1))),":",SUM(MID(B70,FIND(":",B70)+1,FIND("/",B70)-(FIND(":",B70)+1)),MID(B70,FIND(":",B70,FIND("/",B70))+1,FIND(")",B70)-FIND(":",B70,FIND("/",B70))-1))," ",MID(B70,(FIND(")",B70)+1),100)),CONCATENATE(MID(B70,1,IF(ISNUMBER(SEARCH(" ",B70)),FIND(" ",B70)-1,FIND("(",B70)-1))," ",MID(B70,IF(ISNUMBER(SEARCH("-",B70)),FIND("-",B70)-1),2),SUM(MID(B70,FIND("(",B70)+3,(FIND(":",B70)-(FIND("-",B70)+1))),MID(B70,FIND("_",B70)+1,(FIND(":",B70,FIND("_",B70))-FIND("_",B70)-1))),":",SUM(MID(B70,FIND(":",B70)+1,FIND("_",B70)-(FIND(":",B70)+1)),MID(B70,FIND(":",B70,FIND("_",B70))+1,FIND(")",B70)-FIND(":",B70,FIND("_",B70))-1))," ",MID(B70,(FIND(")",B70)+1),100))),B70),IF(ISNUMBER(SEARCH("(",B70)),IF(ISNUMBER(SEARCH("/",B70)),CONCATENATE(MID(B70,1,IF(ISNUMBER(SEARCH(" ",B70)),FIND(" ",B70)-1,FIND("(",B70)-1))," ",(SUM(MID(B70,FIND("(",B70)+1,FIND(":",B70)-FIND("(",B70)-1),MID(B70,FIND("/",B70)+1,FIND(":",B70,FIND("/",B70))-FIND("/",B70)-1))),":",SUM(MID(B70,FIND(":",B70)+1,FIND("/",B70)-FIND(":",B70)-1),MID(B70,FIND(":",B70,FIND("/",B70))+1,FIND(")",B70)-FIND(":",B70,FIND("/",B70))-1)),MID(B70,(FIND(")",B70)+1),100)),CONCATENATE(MID(B70,1,IF(ISNUMBER(SEARCH(" ",B70)),FIND(" ",B70)-1,FIND("(",B70)-1))," ",(SUM(MID(B70,FIND("(",B70)+1,FIND(":",B70)-FIND("(",B70)-1),MID(B70,FIND("_",B70)+1,FIND(":",B70,FIND("_",B70))-FIND("_",B70)-1))),":",SUM(MID(B70,FIND(":",B70)+1,FIND("_",B70)-FIND(":",B70)-1),MID(B70,FIND(":",B70,FIND("_",B70))+1,FIND(")",B70)-FIND(":",B70,FIND("_",B70))-1)),MID(B70,(FIND(")",B70)+1),100))),B70))</f>
        <v>PE 38:3</v>
      </c>
      <c r="D70" s="29">
        <f>'Enter Values'!B70</f>
        <v>0.78984836744695197</v>
      </c>
      <c r="E70" s="29">
        <f>'Enter Values'!C70</f>
        <v>0.803282900598283</v>
      </c>
      <c r="F70" s="29">
        <f>'Enter Values'!D70</f>
        <v>0.79732850801236099</v>
      </c>
    </row>
    <row r="71" spans="1:6" x14ac:dyDescent="0.2">
      <c r="A71" s="26" t="s">
        <v>428</v>
      </c>
      <c r="B71" s="28" t="str">
        <f>'Enter Values'!A71</f>
        <v>PE O-38:7</v>
      </c>
      <c r="C71" s="26" t="str">
        <f>IF(ISNUMBER(SEARCH("-",B71)),IF(ISNUMBER(SEARCH("(",B71)),IF(ISNUMBER(SEARCH("/",B71)),CONCATENATE(MID(B71,1,IF(ISNUMBER(SEARCH(" ",B71)),FIND(" ",B71)-1,FIND("(",B71)-1))," ",MID(B71,IF(ISNUMBER(SEARCH("-",B71)),FIND("-",B71)-1),2),SUM(MID(B71,FIND("(",B71)+3,(FIND(":",B71)-(FIND("-",B71)+1))),MID(B71,FIND("/",B71)+1,(FIND(":",B71,FIND("/",B71))-FIND("/",B71)-1))),":",SUM(MID(B71,FIND(":",B71)+1,FIND("/",B71)-(FIND(":",B71)+1)),MID(B71,FIND(":",B71,FIND("/",B71))+1,FIND(")",B71)-FIND(":",B71,FIND("/",B71))-1))," ",MID(B71,(FIND(")",B71)+1),100)),CONCATENATE(MID(B71,1,IF(ISNUMBER(SEARCH(" ",B71)),FIND(" ",B71)-1,FIND("(",B71)-1))," ",MID(B71,IF(ISNUMBER(SEARCH("-",B71)),FIND("-",B71)-1),2),SUM(MID(B71,FIND("(",B71)+3,(FIND(":",B71)-(FIND("-",B71)+1))),MID(B71,FIND("_",B71)+1,(FIND(":",B71,FIND("_",B71))-FIND("_",B71)-1))),":",SUM(MID(B71,FIND(":",B71)+1,FIND("_",B71)-(FIND(":",B71)+1)),MID(B71,FIND(":",B71,FIND("_",B71))+1,FIND(")",B71)-FIND(":",B71,FIND("_",B71))-1))," ",MID(B71,(FIND(")",B71)+1),100))),B71),IF(ISNUMBER(SEARCH("(",B71)),IF(ISNUMBER(SEARCH("/",B71)),CONCATENATE(MID(B71,1,IF(ISNUMBER(SEARCH(" ",B71)),FIND(" ",B71)-1,FIND("(",B71)-1))," ",(SUM(MID(B71,FIND("(",B71)+1,FIND(":",B71)-FIND("(",B71)-1),MID(B71,FIND("/",B71)+1,FIND(":",B71,FIND("/",B71))-FIND("/",B71)-1))),":",SUM(MID(B71,FIND(":",B71)+1,FIND("/",B71)-FIND(":",B71)-1),MID(B71,FIND(":",B71,FIND("/",B71))+1,FIND(")",B71)-FIND(":",B71,FIND("/",B71))-1)),MID(B71,(FIND(")",B71)+1),100)),CONCATENATE(MID(B71,1,IF(ISNUMBER(SEARCH(" ",B71)),FIND(" ",B71)-1,FIND("(",B71)-1))," ",(SUM(MID(B71,FIND("(",B71)+1,FIND(":",B71)-FIND("(",B71)-1),MID(B71,FIND("_",B71)+1,FIND(":",B71,FIND("_",B71))-FIND("_",B71)-1))),":",SUM(MID(B71,FIND(":",B71)+1,FIND("_",B71)-FIND(":",B71)-1),MID(B71,FIND(":",B71,FIND("_",B71))+1,FIND(")",B71)-FIND(":",B71,FIND("_",B71))-1)),MID(B71,(FIND(")",B71)+1),100))),B71))</f>
        <v>PE O-38:7</v>
      </c>
      <c r="D71" s="29">
        <f>'Enter Values'!B71</f>
        <v>0.78844344835550895</v>
      </c>
      <c r="E71" s="29">
        <f>'Enter Values'!C71</f>
        <v>0.81380979196226799</v>
      </c>
      <c r="F71" s="29">
        <f>'Enter Values'!D71</f>
        <v>0.79674183146002697</v>
      </c>
    </row>
    <row r="72" spans="1:6" x14ac:dyDescent="0.2">
      <c r="A72" s="26" t="s">
        <v>428</v>
      </c>
      <c r="B72" s="28" t="str">
        <f>'Enter Values'!A72</f>
        <v>PE 40:4</v>
      </c>
      <c r="C72" s="26" t="str">
        <f>IF(ISNUMBER(SEARCH("-",B72)),IF(ISNUMBER(SEARCH("(",B72)),IF(ISNUMBER(SEARCH("/",B72)),CONCATENATE(MID(B72,1,IF(ISNUMBER(SEARCH(" ",B72)),FIND(" ",B72)-1,FIND("(",B72)-1))," ",MID(B72,IF(ISNUMBER(SEARCH("-",B72)),FIND("-",B72)-1),2),SUM(MID(B72,FIND("(",B72)+3,(FIND(":",B72)-(FIND("-",B72)+1))),MID(B72,FIND("/",B72)+1,(FIND(":",B72,FIND("/",B72))-FIND("/",B72)-1))),":",SUM(MID(B72,FIND(":",B72)+1,FIND("/",B72)-(FIND(":",B72)+1)),MID(B72,FIND(":",B72,FIND("/",B72))+1,FIND(")",B72)-FIND(":",B72,FIND("/",B72))-1))," ",MID(B72,(FIND(")",B72)+1),100)),CONCATENATE(MID(B72,1,IF(ISNUMBER(SEARCH(" ",B72)),FIND(" ",B72)-1,FIND("(",B72)-1))," ",MID(B72,IF(ISNUMBER(SEARCH("-",B72)),FIND("-",B72)-1),2),SUM(MID(B72,FIND("(",B72)+3,(FIND(":",B72)-(FIND("-",B72)+1))),MID(B72,FIND("_",B72)+1,(FIND(":",B72,FIND("_",B72))-FIND("_",B72)-1))),":",SUM(MID(B72,FIND(":",B72)+1,FIND("_",B72)-(FIND(":",B72)+1)),MID(B72,FIND(":",B72,FIND("_",B72))+1,FIND(")",B72)-FIND(":",B72,FIND("_",B72))-1))," ",MID(B72,(FIND(")",B72)+1),100))),B72),IF(ISNUMBER(SEARCH("(",B72)),IF(ISNUMBER(SEARCH("/",B72)),CONCATENATE(MID(B72,1,IF(ISNUMBER(SEARCH(" ",B72)),FIND(" ",B72)-1,FIND("(",B72)-1))," ",(SUM(MID(B72,FIND("(",B72)+1,FIND(":",B72)-FIND("(",B72)-1),MID(B72,FIND("/",B72)+1,FIND(":",B72,FIND("/",B72))-FIND("/",B72)-1))),":",SUM(MID(B72,FIND(":",B72)+1,FIND("/",B72)-FIND(":",B72)-1),MID(B72,FIND(":",B72,FIND("/",B72))+1,FIND(")",B72)-FIND(":",B72,FIND("/",B72))-1)),MID(B72,(FIND(")",B72)+1),100)),CONCATENATE(MID(B72,1,IF(ISNUMBER(SEARCH(" ",B72)),FIND(" ",B72)-1,FIND("(",B72)-1))," ",(SUM(MID(B72,FIND("(",B72)+1,FIND(":",B72)-FIND("(",B72)-1),MID(B72,FIND("_",B72)+1,FIND(":",B72,FIND("_",B72))-FIND("_",B72)-1))),":",SUM(MID(B72,FIND(":",B72)+1,FIND("_",B72)-FIND(":",B72)-1),MID(B72,FIND(":",B72,FIND("_",B72))+1,FIND(")",B72)-FIND(":",B72,FIND("_",B72))-1)),MID(B72,(FIND(")",B72)+1),100))),B72))</f>
        <v>PE 40:4</v>
      </c>
      <c r="D72" s="29">
        <f>'Enter Values'!B72</f>
        <v>0.77784721386581201</v>
      </c>
      <c r="E72" s="29">
        <f>'Enter Values'!C72</f>
        <v>0.78789313824606799</v>
      </c>
      <c r="F72" s="29">
        <f>'Enter Values'!D72</f>
        <v>0.822062225838597</v>
      </c>
    </row>
    <row r="73" spans="1:6" x14ac:dyDescent="0.2">
      <c r="A73" s="26" t="s">
        <v>427</v>
      </c>
      <c r="B73" s="28" t="str">
        <f>'Enter Values'!A73</f>
        <v>PC O-42:5</v>
      </c>
      <c r="C73" s="26" t="str">
        <f>IF(ISNUMBER(SEARCH("-",B73)),IF(ISNUMBER(SEARCH("(",B73)),IF(ISNUMBER(SEARCH("/",B73)),CONCATENATE(MID(B73,1,IF(ISNUMBER(SEARCH(" ",B73)),FIND(" ",B73)-1,FIND("(",B73)-1))," ",MID(B73,IF(ISNUMBER(SEARCH("-",B73)),FIND("-",B73)-1),2),SUM(MID(B73,FIND("(",B73)+3,(FIND(":",B73)-(FIND("-",B73)+1))),MID(B73,FIND("/",B73)+1,(FIND(":",B73,FIND("/",B73))-FIND("/",B73)-1))),":",SUM(MID(B73,FIND(":",B73)+1,FIND("/",B73)-(FIND(":",B73)+1)),MID(B73,FIND(":",B73,FIND("/",B73))+1,FIND(")",B73)-FIND(":",B73,FIND("/",B73))-1))," ",MID(B73,(FIND(")",B73)+1),100)),CONCATENATE(MID(B73,1,IF(ISNUMBER(SEARCH(" ",B73)),FIND(" ",B73)-1,FIND("(",B73)-1))," ",MID(B73,IF(ISNUMBER(SEARCH("-",B73)),FIND("-",B73)-1),2),SUM(MID(B73,FIND("(",B73)+3,(FIND(":",B73)-(FIND("-",B73)+1))),MID(B73,FIND("_",B73)+1,(FIND(":",B73,FIND("_",B73))-FIND("_",B73)-1))),":",SUM(MID(B73,FIND(":",B73)+1,FIND("_",B73)-(FIND(":",B73)+1)),MID(B73,FIND(":",B73,FIND("_",B73))+1,FIND(")",B73)-FIND(":",B73,FIND("_",B73))-1))," ",MID(B73,(FIND(")",B73)+1),100))),B73),IF(ISNUMBER(SEARCH("(",B73)),IF(ISNUMBER(SEARCH("/",B73)),CONCATENATE(MID(B73,1,IF(ISNUMBER(SEARCH(" ",B73)),FIND(" ",B73)-1,FIND("(",B73)-1))," ",(SUM(MID(B73,FIND("(",B73)+1,FIND(":",B73)-FIND("(",B73)-1),MID(B73,FIND("/",B73)+1,FIND(":",B73,FIND("/",B73))-FIND("/",B73)-1))),":",SUM(MID(B73,FIND(":",B73)+1,FIND("/",B73)-FIND(":",B73)-1),MID(B73,FIND(":",B73,FIND("/",B73))+1,FIND(")",B73)-FIND(":",B73,FIND("/",B73))-1)),MID(B73,(FIND(")",B73)+1),100)),CONCATENATE(MID(B73,1,IF(ISNUMBER(SEARCH(" ",B73)),FIND(" ",B73)-1,FIND("(",B73)-1))," ",(SUM(MID(B73,FIND("(",B73)+1,FIND(":",B73)-FIND("(",B73)-1),MID(B73,FIND("_",B73)+1,FIND(":",B73,FIND("_",B73))-FIND("_",B73)-1))),":",SUM(MID(B73,FIND(":",B73)+1,FIND("_",B73)-FIND(":",B73)-1),MID(B73,FIND(":",B73,FIND("_",B73))+1,FIND(")",B73)-FIND(":",B73,FIND("_",B73))-1)),MID(B73,(FIND(")",B73)+1),100))),B73))</f>
        <v>PC O-42:5</v>
      </c>
      <c r="D73" s="29">
        <f>'Enter Values'!B73</f>
        <v>1.4931627925236901</v>
      </c>
      <c r="E73" s="29">
        <f>'Enter Values'!C73</f>
        <v>1.7978288065379</v>
      </c>
      <c r="F73" s="29">
        <f>'Enter Values'!D73</f>
        <v>1.27694409568336</v>
      </c>
    </row>
    <row r="74" spans="1:6" x14ac:dyDescent="0.2">
      <c r="A74" s="26" t="s">
        <v>428</v>
      </c>
      <c r="B74" s="28" t="str">
        <f>'Enter Values'!A74</f>
        <v>PE 36:0</v>
      </c>
      <c r="C74" s="26" t="str">
        <f>IF(ISNUMBER(SEARCH("-",B74)),IF(ISNUMBER(SEARCH("(",B74)),IF(ISNUMBER(SEARCH("/",B74)),CONCATENATE(MID(B74,1,IF(ISNUMBER(SEARCH(" ",B74)),FIND(" ",B74)-1,FIND("(",B74)-1))," ",MID(B74,IF(ISNUMBER(SEARCH("-",B74)),FIND("-",B74)-1),2),SUM(MID(B74,FIND("(",B74)+3,(FIND(":",B74)-(FIND("-",B74)+1))),MID(B74,FIND("/",B74)+1,(FIND(":",B74,FIND("/",B74))-FIND("/",B74)-1))),":",SUM(MID(B74,FIND(":",B74)+1,FIND("/",B74)-(FIND(":",B74)+1)),MID(B74,FIND(":",B74,FIND("/",B74))+1,FIND(")",B74)-FIND(":",B74,FIND("/",B74))-1))," ",MID(B74,(FIND(")",B74)+1),100)),CONCATENATE(MID(B74,1,IF(ISNUMBER(SEARCH(" ",B74)),FIND(" ",B74)-1,FIND("(",B74)-1))," ",MID(B74,IF(ISNUMBER(SEARCH("-",B74)),FIND("-",B74)-1),2),SUM(MID(B74,FIND("(",B74)+3,(FIND(":",B74)-(FIND("-",B74)+1))),MID(B74,FIND("_",B74)+1,(FIND(":",B74,FIND("_",B74))-FIND("_",B74)-1))),":",SUM(MID(B74,FIND(":",B74)+1,FIND("_",B74)-(FIND(":",B74)+1)),MID(B74,FIND(":",B74,FIND("_",B74))+1,FIND(")",B74)-FIND(":",B74,FIND("_",B74))-1))," ",MID(B74,(FIND(")",B74)+1),100))),B74),IF(ISNUMBER(SEARCH("(",B74)),IF(ISNUMBER(SEARCH("/",B74)),CONCATENATE(MID(B74,1,IF(ISNUMBER(SEARCH(" ",B74)),FIND(" ",B74)-1,FIND("(",B74)-1))," ",(SUM(MID(B74,FIND("(",B74)+1,FIND(":",B74)-FIND("(",B74)-1),MID(B74,FIND("/",B74)+1,FIND(":",B74,FIND("/",B74))-FIND("/",B74)-1))),":",SUM(MID(B74,FIND(":",B74)+1,FIND("/",B74)-FIND(":",B74)-1),MID(B74,FIND(":",B74,FIND("/",B74))+1,FIND(")",B74)-FIND(":",B74,FIND("/",B74))-1)),MID(B74,(FIND(")",B74)+1),100)),CONCATENATE(MID(B74,1,IF(ISNUMBER(SEARCH(" ",B74)),FIND(" ",B74)-1,FIND("(",B74)-1))," ",(SUM(MID(B74,FIND("(",B74)+1,FIND(":",B74)-FIND("(",B74)-1),MID(B74,FIND("_",B74)+1,FIND(":",B74,FIND("_",B74))-FIND("_",B74)-1))),":",SUM(MID(B74,FIND(":",B74)+1,FIND("_",B74)-FIND(":",B74)-1),MID(B74,FIND(":",B74,FIND("_",B74))+1,FIND(")",B74)-FIND(":",B74,FIND("_",B74))-1)),MID(B74,(FIND(")",B74)+1),100))),B74))</f>
        <v>PE 36:0</v>
      </c>
      <c r="D74" s="29">
        <f>'Enter Values'!B74</f>
        <v>0.75797751316972695</v>
      </c>
      <c r="E74" s="29">
        <f>'Enter Values'!C74</f>
        <v>0.93440922329374099</v>
      </c>
      <c r="F74" s="29">
        <f>'Enter Values'!D74</f>
        <v>0.92598634866991303</v>
      </c>
    </row>
    <row r="75" spans="1:6" x14ac:dyDescent="0.2">
      <c r="A75" s="26" t="s">
        <v>428</v>
      </c>
      <c r="B75" s="28" t="str">
        <f>'Enter Values'!A75</f>
        <v>PE 34:2</v>
      </c>
      <c r="C75" s="26" t="str">
        <f>IF(ISNUMBER(SEARCH("-",B75)),IF(ISNUMBER(SEARCH("(",B75)),IF(ISNUMBER(SEARCH("/",B75)),CONCATENATE(MID(B75,1,IF(ISNUMBER(SEARCH(" ",B75)),FIND(" ",B75)-1,FIND("(",B75)-1))," ",MID(B75,IF(ISNUMBER(SEARCH("-",B75)),FIND("-",B75)-1),2),SUM(MID(B75,FIND("(",B75)+3,(FIND(":",B75)-(FIND("-",B75)+1))),MID(B75,FIND("/",B75)+1,(FIND(":",B75,FIND("/",B75))-FIND("/",B75)-1))),":",SUM(MID(B75,FIND(":",B75)+1,FIND("/",B75)-(FIND(":",B75)+1)),MID(B75,FIND(":",B75,FIND("/",B75))+1,FIND(")",B75)-FIND(":",B75,FIND("/",B75))-1))," ",MID(B75,(FIND(")",B75)+1),100)),CONCATENATE(MID(B75,1,IF(ISNUMBER(SEARCH(" ",B75)),FIND(" ",B75)-1,FIND("(",B75)-1))," ",MID(B75,IF(ISNUMBER(SEARCH("-",B75)),FIND("-",B75)-1),2),SUM(MID(B75,FIND("(",B75)+3,(FIND(":",B75)-(FIND("-",B75)+1))),MID(B75,FIND("_",B75)+1,(FIND(":",B75,FIND("_",B75))-FIND("_",B75)-1))),":",SUM(MID(B75,FIND(":",B75)+1,FIND("_",B75)-(FIND(":",B75)+1)),MID(B75,FIND(":",B75,FIND("_",B75))+1,FIND(")",B75)-FIND(":",B75,FIND("_",B75))-1))," ",MID(B75,(FIND(")",B75)+1),100))),B75),IF(ISNUMBER(SEARCH("(",B75)),IF(ISNUMBER(SEARCH("/",B75)),CONCATENATE(MID(B75,1,IF(ISNUMBER(SEARCH(" ",B75)),FIND(" ",B75)-1,FIND("(",B75)-1))," ",(SUM(MID(B75,FIND("(",B75)+1,FIND(":",B75)-FIND("(",B75)-1),MID(B75,FIND("/",B75)+1,FIND(":",B75,FIND("/",B75))-FIND("/",B75)-1))),":",SUM(MID(B75,FIND(":",B75)+1,FIND("/",B75)-FIND(":",B75)-1),MID(B75,FIND(":",B75,FIND("/",B75))+1,FIND(")",B75)-FIND(":",B75,FIND("/",B75))-1)),MID(B75,(FIND(")",B75)+1),100)),CONCATENATE(MID(B75,1,IF(ISNUMBER(SEARCH(" ",B75)),FIND(" ",B75)-1,FIND("(",B75)-1))," ",(SUM(MID(B75,FIND("(",B75)+1,FIND(":",B75)-FIND("(",B75)-1),MID(B75,FIND("_",B75)+1,FIND(":",B75,FIND("_",B75))-FIND("_",B75)-1))),":",SUM(MID(B75,FIND(":",B75)+1,FIND("_",B75)-FIND(":",B75)-1),MID(B75,FIND(":",B75,FIND("_",B75))+1,FIND(")",B75)-FIND(":",B75,FIND("_",B75))-1)),MID(B75,(FIND(")",B75)+1),100))),B75))</f>
        <v>PE 34:2</v>
      </c>
      <c r="D75" s="29">
        <f>'Enter Values'!B75</f>
        <v>0.75661443183209198</v>
      </c>
      <c r="E75" s="29">
        <f>'Enter Values'!C75</f>
        <v>0.82397134125261495</v>
      </c>
      <c r="F75" s="29">
        <f>'Enter Values'!D75</f>
        <v>0.75374716529727803</v>
      </c>
    </row>
    <row r="76" spans="1:6" x14ac:dyDescent="0.2">
      <c r="A76" s="26" t="s">
        <v>428</v>
      </c>
      <c r="B76" s="28" t="str">
        <f>'Enter Values'!A76</f>
        <v>PE 36:4</v>
      </c>
      <c r="C76" s="26" t="str">
        <f>IF(ISNUMBER(SEARCH("-",B76)),IF(ISNUMBER(SEARCH("(",B76)),IF(ISNUMBER(SEARCH("/",B76)),CONCATENATE(MID(B76,1,IF(ISNUMBER(SEARCH(" ",B76)),FIND(" ",B76)-1,FIND("(",B76)-1))," ",MID(B76,IF(ISNUMBER(SEARCH("-",B76)),FIND("-",B76)-1),2),SUM(MID(B76,FIND("(",B76)+3,(FIND(":",B76)-(FIND("-",B76)+1))),MID(B76,FIND("/",B76)+1,(FIND(":",B76,FIND("/",B76))-FIND("/",B76)-1))),":",SUM(MID(B76,FIND(":",B76)+1,FIND("/",B76)-(FIND(":",B76)+1)),MID(B76,FIND(":",B76,FIND("/",B76))+1,FIND(")",B76)-FIND(":",B76,FIND("/",B76))-1))," ",MID(B76,(FIND(")",B76)+1),100)),CONCATENATE(MID(B76,1,IF(ISNUMBER(SEARCH(" ",B76)),FIND(" ",B76)-1,FIND("(",B76)-1))," ",MID(B76,IF(ISNUMBER(SEARCH("-",B76)),FIND("-",B76)-1),2),SUM(MID(B76,FIND("(",B76)+3,(FIND(":",B76)-(FIND("-",B76)+1))),MID(B76,FIND("_",B76)+1,(FIND(":",B76,FIND("_",B76))-FIND("_",B76)-1))),":",SUM(MID(B76,FIND(":",B76)+1,FIND("_",B76)-(FIND(":",B76)+1)),MID(B76,FIND(":",B76,FIND("_",B76))+1,FIND(")",B76)-FIND(":",B76,FIND("_",B76))-1))," ",MID(B76,(FIND(")",B76)+1),100))),B76),IF(ISNUMBER(SEARCH("(",B76)),IF(ISNUMBER(SEARCH("/",B76)),CONCATENATE(MID(B76,1,IF(ISNUMBER(SEARCH(" ",B76)),FIND(" ",B76)-1,FIND("(",B76)-1))," ",(SUM(MID(B76,FIND("(",B76)+1,FIND(":",B76)-FIND("(",B76)-1),MID(B76,FIND("/",B76)+1,FIND(":",B76,FIND("/",B76))-FIND("/",B76)-1))),":",SUM(MID(B76,FIND(":",B76)+1,FIND("/",B76)-FIND(":",B76)-1),MID(B76,FIND(":",B76,FIND("/",B76))+1,FIND(")",B76)-FIND(":",B76,FIND("/",B76))-1)),MID(B76,(FIND(")",B76)+1),100)),CONCATENATE(MID(B76,1,IF(ISNUMBER(SEARCH(" ",B76)),FIND(" ",B76)-1,FIND("(",B76)-1))," ",(SUM(MID(B76,FIND("(",B76)+1,FIND(":",B76)-FIND("(",B76)-1),MID(B76,FIND("_",B76)+1,FIND(":",B76,FIND("_",B76))-FIND("_",B76)-1))),":",SUM(MID(B76,FIND(":",B76)+1,FIND("_",B76)-FIND(":",B76)-1),MID(B76,FIND(":",B76,FIND("_",B76))+1,FIND(")",B76)-FIND(":",B76,FIND("_",B76))-1)),MID(B76,(FIND(")",B76)+1),100))),B76))</f>
        <v>PE 36:4</v>
      </c>
      <c r="D76" s="29">
        <f>'Enter Values'!B76</f>
        <v>0.67119064280032603</v>
      </c>
      <c r="E76" s="29">
        <f>'Enter Values'!C76</f>
        <v>0.73259594169709497</v>
      </c>
      <c r="F76" s="29">
        <f>'Enter Values'!D76</f>
        <v>0.67090579325364497</v>
      </c>
    </row>
    <row r="77" spans="1:6" x14ac:dyDescent="0.2">
      <c r="A77" s="26" t="s">
        <v>427</v>
      </c>
      <c r="B77" s="28" t="str">
        <f>'Enter Values'!A77</f>
        <v>PC O-36:2</v>
      </c>
      <c r="C77" s="26" t="str">
        <f>IF(ISNUMBER(SEARCH("-",B77)),IF(ISNUMBER(SEARCH("(",B77)),IF(ISNUMBER(SEARCH("/",B77)),CONCATENATE(MID(B77,1,IF(ISNUMBER(SEARCH(" ",B77)),FIND(" ",B77)-1,FIND("(",B77)-1))," ",MID(B77,IF(ISNUMBER(SEARCH("-",B77)),FIND("-",B77)-1),2),SUM(MID(B77,FIND("(",B77)+3,(FIND(":",B77)-(FIND("-",B77)+1))),MID(B77,FIND("/",B77)+1,(FIND(":",B77,FIND("/",B77))-FIND("/",B77)-1))),":",SUM(MID(B77,FIND(":",B77)+1,FIND("/",B77)-(FIND(":",B77)+1)),MID(B77,FIND(":",B77,FIND("/",B77))+1,FIND(")",B77)-FIND(":",B77,FIND("/",B77))-1))," ",MID(B77,(FIND(")",B77)+1),100)),CONCATENATE(MID(B77,1,IF(ISNUMBER(SEARCH(" ",B77)),FIND(" ",B77)-1,FIND("(",B77)-1))," ",MID(B77,IF(ISNUMBER(SEARCH("-",B77)),FIND("-",B77)-1),2),SUM(MID(B77,FIND("(",B77)+3,(FIND(":",B77)-(FIND("-",B77)+1))),MID(B77,FIND("_",B77)+1,(FIND(":",B77,FIND("_",B77))-FIND("_",B77)-1))),":",SUM(MID(B77,FIND(":",B77)+1,FIND("_",B77)-(FIND(":",B77)+1)),MID(B77,FIND(":",B77,FIND("_",B77))+1,FIND(")",B77)-FIND(":",B77,FIND("_",B77))-1))," ",MID(B77,(FIND(")",B77)+1),100))),B77),IF(ISNUMBER(SEARCH("(",B77)),IF(ISNUMBER(SEARCH("/",B77)),CONCATENATE(MID(B77,1,IF(ISNUMBER(SEARCH(" ",B77)),FIND(" ",B77)-1,FIND("(",B77)-1))," ",(SUM(MID(B77,FIND("(",B77)+1,FIND(":",B77)-FIND("(",B77)-1),MID(B77,FIND("/",B77)+1,FIND(":",B77,FIND("/",B77))-FIND("/",B77)-1))),":",SUM(MID(B77,FIND(":",B77)+1,FIND("/",B77)-FIND(":",B77)-1),MID(B77,FIND(":",B77,FIND("/",B77))+1,FIND(")",B77)-FIND(":",B77,FIND("/",B77))-1)),MID(B77,(FIND(")",B77)+1),100)),CONCATENATE(MID(B77,1,IF(ISNUMBER(SEARCH(" ",B77)),FIND(" ",B77)-1,FIND("(",B77)-1))," ",(SUM(MID(B77,FIND("(",B77)+1,FIND(":",B77)-FIND("(",B77)-1),MID(B77,FIND("_",B77)+1,FIND(":",B77,FIND("_",B77))-FIND("_",B77)-1))),":",SUM(MID(B77,FIND(":",B77)+1,FIND("_",B77)-FIND(":",B77)-1),MID(B77,FIND(":",B77,FIND("_",B77))+1,FIND(")",B77)-FIND(":",B77,FIND("_",B77))-1)),MID(B77,(FIND(")",B77)+1),100))),B77))</f>
        <v>PC O-36:2</v>
      </c>
      <c r="D77" s="29">
        <f>'Enter Values'!B77</f>
        <v>1.2924324525266899</v>
      </c>
      <c r="E77" s="29">
        <f>'Enter Values'!C77</f>
        <v>1.66013452766596</v>
      </c>
      <c r="F77" s="29">
        <f>'Enter Values'!D77</f>
        <v>0.95865395868974002</v>
      </c>
    </row>
    <row r="78" spans="1:6" x14ac:dyDescent="0.2">
      <c r="A78" s="26" t="s">
        <v>428</v>
      </c>
      <c r="B78" s="28" t="str">
        <f>'Enter Values'!A78</f>
        <v>PE 38:6</v>
      </c>
      <c r="C78" s="26" t="str">
        <f>IF(ISNUMBER(SEARCH("-",B78)),IF(ISNUMBER(SEARCH("(",B78)),IF(ISNUMBER(SEARCH("/",B78)),CONCATENATE(MID(B78,1,IF(ISNUMBER(SEARCH(" ",B78)),FIND(" ",B78)-1,FIND("(",B78)-1))," ",MID(B78,IF(ISNUMBER(SEARCH("-",B78)),FIND("-",B78)-1),2),SUM(MID(B78,FIND("(",B78)+3,(FIND(":",B78)-(FIND("-",B78)+1))),MID(B78,FIND("/",B78)+1,(FIND(":",B78,FIND("/",B78))-FIND("/",B78)-1))),":",SUM(MID(B78,FIND(":",B78)+1,FIND("/",B78)-(FIND(":",B78)+1)),MID(B78,FIND(":",B78,FIND("/",B78))+1,FIND(")",B78)-FIND(":",B78,FIND("/",B78))-1))," ",MID(B78,(FIND(")",B78)+1),100)),CONCATENATE(MID(B78,1,IF(ISNUMBER(SEARCH(" ",B78)),FIND(" ",B78)-1,FIND("(",B78)-1))," ",MID(B78,IF(ISNUMBER(SEARCH("-",B78)),FIND("-",B78)-1),2),SUM(MID(B78,FIND("(",B78)+3,(FIND(":",B78)-(FIND("-",B78)+1))),MID(B78,FIND("_",B78)+1,(FIND(":",B78,FIND("_",B78))-FIND("_",B78)-1))),":",SUM(MID(B78,FIND(":",B78)+1,FIND("_",B78)-(FIND(":",B78)+1)),MID(B78,FIND(":",B78,FIND("_",B78))+1,FIND(")",B78)-FIND(":",B78,FIND("_",B78))-1))," ",MID(B78,(FIND(")",B78)+1),100))),B78),IF(ISNUMBER(SEARCH("(",B78)),IF(ISNUMBER(SEARCH("/",B78)),CONCATENATE(MID(B78,1,IF(ISNUMBER(SEARCH(" ",B78)),FIND(" ",B78)-1,FIND("(",B78)-1))," ",(SUM(MID(B78,FIND("(",B78)+1,FIND(":",B78)-FIND("(",B78)-1),MID(B78,FIND("/",B78)+1,FIND(":",B78,FIND("/",B78))-FIND("/",B78)-1))),":",SUM(MID(B78,FIND(":",B78)+1,FIND("/",B78)-FIND(":",B78)-1),MID(B78,FIND(":",B78,FIND("/",B78))+1,FIND(")",B78)-FIND(":",B78,FIND("/",B78))-1)),MID(B78,(FIND(")",B78)+1),100)),CONCATENATE(MID(B78,1,IF(ISNUMBER(SEARCH(" ",B78)),FIND(" ",B78)-1,FIND("(",B78)-1))," ",(SUM(MID(B78,FIND("(",B78)+1,FIND(":",B78)-FIND("(",B78)-1),MID(B78,FIND("_",B78)+1,FIND(":",B78,FIND("_",B78))-FIND("_",B78)-1))),":",SUM(MID(B78,FIND(":",B78)+1,FIND("_",B78)-FIND(":",B78)-1),MID(B78,FIND(":",B78,FIND("_",B78))+1,FIND(")",B78)-FIND(":",B78,FIND("_",B78))-1)),MID(B78,(FIND(")",B78)+1),100))),B78))</f>
        <v>PE 38:6</v>
      </c>
      <c r="D78" s="29">
        <f>'Enter Values'!B78</f>
        <v>0.66777982906929301</v>
      </c>
      <c r="E78" s="29">
        <f>'Enter Values'!C78</f>
        <v>0.70050758446385097</v>
      </c>
      <c r="F78" s="29">
        <f>'Enter Values'!D78</f>
        <v>0.66826232170271105</v>
      </c>
    </row>
    <row r="79" spans="1:6" x14ac:dyDescent="0.2">
      <c r="A79" s="26" t="s">
        <v>427</v>
      </c>
      <c r="B79" s="28" t="str">
        <f>'Enter Values'!A79</f>
        <v>PC 40:7</v>
      </c>
      <c r="C79" s="26" t="str">
        <f>IF(ISNUMBER(SEARCH("-",B79)),IF(ISNUMBER(SEARCH("(",B79)),IF(ISNUMBER(SEARCH("/",B79)),CONCATENATE(MID(B79,1,IF(ISNUMBER(SEARCH(" ",B79)),FIND(" ",B79)-1,FIND("(",B79)-1))," ",MID(B79,IF(ISNUMBER(SEARCH("-",B79)),FIND("-",B79)-1),2),SUM(MID(B79,FIND("(",B79)+3,(FIND(":",B79)-(FIND("-",B79)+1))),MID(B79,FIND("/",B79)+1,(FIND(":",B79,FIND("/",B79))-FIND("/",B79)-1))),":",SUM(MID(B79,FIND(":",B79)+1,FIND("/",B79)-(FIND(":",B79)+1)),MID(B79,FIND(":",B79,FIND("/",B79))+1,FIND(")",B79)-FIND(":",B79,FIND("/",B79))-1))," ",MID(B79,(FIND(")",B79)+1),100)),CONCATENATE(MID(B79,1,IF(ISNUMBER(SEARCH(" ",B79)),FIND(" ",B79)-1,FIND("(",B79)-1))," ",MID(B79,IF(ISNUMBER(SEARCH("-",B79)),FIND("-",B79)-1),2),SUM(MID(B79,FIND("(",B79)+3,(FIND(":",B79)-(FIND("-",B79)+1))),MID(B79,FIND("_",B79)+1,(FIND(":",B79,FIND("_",B79))-FIND("_",B79)-1))),":",SUM(MID(B79,FIND(":",B79)+1,FIND("_",B79)-(FIND(":",B79)+1)),MID(B79,FIND(":",B79,FIND("_",B79))+1,FIND(")",B79)-FIND(":",B79,FIND("_",B79))-1))," ",MID(B79,(FIND(")",B79)+1),100))),B79),IF(ISNUMBER(SEARCH("(",B79)),IF(ISNUMBER(SEARCH("/",B79)),CONCATENATE(MID(B79,1,IF(ISNUMBER(SEARCH(" ",B79)),FIND(" ",B79)-1,FIND("(",B79)-1))," ",(SUM(MID(B79,FIND("(",B79)+1,FIND(":",B79)-FIND("(",B79)-1),MID(B79,FIND("/",B79)+1,FIND(":",B79,FIND("/",B79))-FIND("/",B79)-1))),":",SUM(MID(B79,FIND(":",B79)+1,FIND("/",B79)-FIND(":",B79)-1),MID(B79,FIND(":",B79,FIND("/",B79))+1,FIND(")",B79)-FIND(":",B79,FIND("/",B79))-1)),MID(B79,(FIND(")",B79)+1),100)),CONCATENATE(MID(B79,1,IF(ISNUMBER(SEARCH(" ",B79)),FIND(" ",B79)-1,FIND("(",B79)-1))," ",(SUM(MID(B79,FIND("(",B79)+1,FIND(":",B79)-FIND("(",B79)-1),MID(B79,FIND("_",B79)+1,FIND(":",B79,FIND("_",B79))-FIND("_",B79)-1))),":",SUM(MID(B79,FIND(":",B79)+1,FIND("_",B79)-FIND(":",B79)-1),MID(B79,FIND(":",B79,FIND("_",B79))+1,FIND(")",B79)-FIND(":",B79,FIND("_",B79))-1)),MID(B79,(FIND(")",B79)+1),100))),B79))</f>
        <v>PC 40:7</v>
      </c>
      <c r="D79" s="29">
        <f>'Enter Values'!B79</f>
        <v>1.2901467957833299</v>
      </c>
      <c r="E79" s="29">
        <f>'Enter Values'!C79</f>
        <v>1.5778136193271599</v>
      </c>
      <c r="F79" s="29">
        <f>'Enter Values'!D79</f>
        <v>1.23341020856919</v>
      </c>
    </row>
    <row r="80" spans="1:6" x14ac:dyDescent="0.2">
      <c r="A80" s="26" t="s">
        <v>427</v>
      </c>
      <c r="B80" s="28" t="str">
        <f>'Enter Values'!A80</f>
        <v>PC O-40:5</v>
      </c>
      <c r="C80" s="26" t="str">
        <f>IF(ISNUMBER(SEARCH("-",B80)),IF(ISNUMBER(SEARCH("(",B80)),IF(ISNUMBER(SEARCH("/",B80)),CONCATENATE(MID(B80,1,IF(ISNUMBER(SEARCH(" ",B80)),FIND(" ",B80)-1,FIND("(",B80)-1))," ",MID(B80,IF(ISNUMBER(SEARCH("-",B80)),FIND("-",B80)-1),2),SUM(MID(B80,FIND("(",B80)+3,(FIND(":",B80)-(FIND("-",B80)+1))),MID(B80,FIND("/",B80)+1,(FIND(":",B80,FIND("/",B80))-FIND("/",B80)-1))),":",SUM(MID(B80,FIND(":",B80)+1,FIND("/",B80)-(FIND(":",B80)+1)),MID(B80,FIND(":",B80,FIND("/",B80))+1,FIND(")",B80)-FIND(":",B80,FIND("/",B80))-1))," ",MID(B80,(FIND(")",B80)+1),100)),CONCATENATE(MID(B80,1,IF(ISNUMBER(SEARCH(" ",B80)),FIND(" ",B80)-1,FIND("(",B80)-1))," ",MID(B80,IF(ISNUMBER(SEARCH("-",B80)),FIND("-",B80)-1),2),SUM(MID(B80,FIND("(",B80)+3,(FIND(":",B80)-(FIND("-",B80)+1))),MID(B80,FIND("_",B80)+1,(FIND(":",B80,FIND("_",B80))-FIND("_",B80)-1))),":",SUM(MID(B80,FIND(":",B80)+1,FIND("_",B80)-(FIND(":",B80)+1)),MID(B80,FIND(":",B80,FIND("_",B80))+1,FIND(")",B80)-FIND(":",B80,FIND("_",B80))-1))," ",MID(B80,(FIND(")",B80)+1),100))),B80),IF(ISNUMBER(SEARCH("(",B80)),IF(ISNUMBER(SEARCH("/",B80)),CONCATENATE(MID(B80,1,IF(ISNUMBER(SEARCH(" ",B80)),FIND(" ",B80)-1,FIND("(",B80)-1))," ",(SUM(MID(B80,FIND("(",B80)+1,FIND(":",B80)-FIND("(",B80)-1),MID(B80,FIND("/",B80)+1,FIND(":",B80,FIND("/",B80))-FIND("/",B80)-1))),":",SUM(MID(B80,FIND(":",B80)+1,FIND("/",B80)-FIND(":",B80)-1),MID(B80,FIND(":",B80,FIND("/",B80))+1,FIND(")",B80)-FIND(":",B80,FIND("/",B80))-1)),MID(B80,(FIND(")",B80)+1),100)),CONCATENATE(MID(B80,1,IF(ISNUMBER(SEARCH(" ",B80)),FIND(" ",B80)-1,FIND("(",B80)-1))," ",(SUM(MID(B80,FIND("(",B80)+1,FIND(":",B80)-FIND("(",B80)-1),MID(B80,FIND("_",B80)+1,FIND(":",B80,FIND("_",B80))-FIND("_",B80)-1))),":",SUM(MID(B80,FIND(":",B80)+1,FIND("_",B80)-FIND(":",B80)-1),MID(B80,FIND(":",B80,FIND("_",B80))+1,FIND(")",B80)-FIND(":",B80,FIND("_",B80))-1)),MID(B80,(FIND(")",B80)+1),100))),B80))</f>
        <v>PC O-40:5</v>
      </c>
      <c r="D80" s="29">
        <f>'Enter Values'!B80</f>
        <v>1.2381723538371301</v>
      </c>
      <c r="E80" s="29">
        <f>'Enter Values'!C80</f>
        <v>1.4945561659609701</v>
      </c>
      <c r="F80" s="29">
        <f>'Enter Values'!D80</f>
        <v>1.02256578156692</v>
      </c>
    </row>
    <row r="81" spans="1:13" x14ac:dyDescent="0.2">
      <c r="A81" s="26" t="s">
        <v>441</v>
      </c>
      <c r="B81" s="28" t="str">
        <f>'Enter Values'!A81</f>
        <v>PI 40:4</v>
      </c>
      <c r="C81" s="26" t="str">
        <f>IF(ISNUMBER(SEARCH("-",B81)),IF(ISNUMBER(SEARCH("(",B81)),IF(ISNUMBER(SEARCH("/",B81)),CONCATENATE(MID(B81,1,IF(ISNUMBER(SEARCH(" ",B81)),FIND(" ",B81)-1,FIND("(",B81)-1))," ",MID(B81,IF(ISNUMBER(SEARCH("-",B81)),FIND("-",B81)-1),2),SUM(MID(B81,FIND("(",B81)+3,(FIND(":",B81)-(FIND("-",B81)+1))),MID(B81,FIND("/",B81)+1,(FIND(":",B81,FIND("/",B81))-FIND("/",B81)-1))),":",SUM(MID(B81,FIND(":",B81)+1,FIND("/",B81)-(FIND(":",B81)+1)),MID(B81,FIND(":",B81,FIND("/",B81))+1,FIND(")",B81)-FIND(":",B81,FIND("/",B81))-1))," ",MID(B81,(FIND(")",B81)+1),100)),CONCATENATE(MID(B81,1,IF(ISNUMBER(SEARCH(" ",B81)),FIND(" ",B81)-1,FIND("(",B81)-1))," ",MID(B81,IF(ISNUMBER(SEARCH("-",B81)),FIND("-",B81)-1),2),SUM(MID(B81,FIND("(",B81)+3,(FIND(":",B81)-(FIND("-",B81)+1))),MID(B81,FIND("_",B81)+1,(FIND(":",B81,FIND("_",B81))-FIND("_",B81)-1))),":",SUM(MID(B81,FIND(":",B81)+1,FIND("_",B81)-(FIND(":",B81)+1)),MID(B81,FIND(":",B81,FIND("_",B81))+1,FIND(")",B81)-FIND(":",B81,FIND("_",B81))-1))," ",MID(B81,(FIND(")",B81)+1),100))),B81),IF(ISNUMBER(SEARCH("(",B81)),IF(ISNUMBER(SEARCH("/",B81)),CONCATENATE(MID(B81,1,IF(ISNUMBER(SEARCH(" ",B81)),FIND(" ",B81)-1,FIND("(",B81)-1))," ",(SUM(MID(B81,FIND("(",B81)+1,FIND(":",B81)-FIND("(",B81)-1),MID(B81,FIND("/",B81)+1,FIND(":",B81,FIND("/",B81))-FIND("/",B81)-1))),":",SUM(MID(B81,FIND(":",B81)+1,FIND("/",B81)-FIND(":",B81)-1),MID(B81,FIND(":",B81,FIND("/",B81))+1,FIND(")",B81)-FIND(":",B81,FIND("/",B81))-1)),MID(B81,(FIND(")",B81)+1),100)),CONCATENATE(MID(B81,1,IF(ISNUMBER(SEARCH(" ",B81)),FIND(" ",B81)-1,FIND("(",B81)-1))," ",(SUM(MID(B81,FIND("(",B81)+1,FIND(":",B81)-FIND("(",B81)-1),MID(B81,FIND("_",B81)+1,FIND(":",B81,FIND("_",B81))-FIND("_",B81)-1))),":",SUM(MID(B81,FIND(":",B81)+1,FIND("_",B81)-FIND(":",B81)-1),MID(B81,FIND(":",B81,FIND("_",B81))+1,FIND(")",B81)-FIND(":",B81,FIND("_",B81))-1)),MID(B81,(FIND(")",B81)+1),100))),B81))</f>
        <v>PI 40:4</v>
      </c>
      <c r="D81" s="29">
        <f>'Enter Values'!B81</f>
        <v>1.33965155731421</v>
      </c>
      <c r="E81" s="29">
        <f>'Enter Values'!C81</f>
        <v>1.3742617812592499</v>
      </c>
      <c r="F81" s="29">
        <f>'Enter Values'!D81</f>
        <v>1.11849527150479</v>
      </c>
    </row>
    <row r="82" spans="1:13" x14ac:dyDescent="0.2">
      <c r="A82" s="26" t="s">
        <v>426</v>
      </c>
      <c r="B82" s="28" t="str">
        <f>'Enter Values'!A82</f>
        <v>LPE 22:6</v>
      </c>
      <c r="C82" s="26" t="str">
        <f>IF(ISNUMBER(SEARCH("-",B82)),IF(ISNUMBER(SEARCH("(",B82)),IF(ISNUMBER(SEARCH("/",B82)),CONCATENATE(MID(B82,1,IF(ISNUMBER(SEARCH(" ",B82)),FIND(" ",B82)-1,FIND("(",B82)-1))," ",MID(B82,IF(ISNUMBER(SEARCH("-",B82)),FIND("-",B82)-1),2),SUM(MID(B82,FIND("(",B82)+3,(FIND(":",B82)-(FIND("-",B82)+1))),MID(B82,FIND("/",B82)+1,(FIND(":",B82,FIND("/",B82))-FIND("/",B82)-1))),":",SUM(MID(B82,FIND(":",B82)+1,FIND("/",B82)-(FIND(":",B82)+1)),MID(B82,FIND(":",B82,FIND("/",B82))+1,FIND(")",B82)-FIND(":",B82,FIND("/",B82))-1))," ",MID(B82,(FIND(")",B82)+1),100)),CONCATENATE(MID(B82,1,IF(ISNUMBER(SEARCH(" ",B82)),FIND(" ",B82)-1,FIND("(",B82)-1))," ",MID(B82,IF(ISNUMBER(SEARCH("-",B82)),FIND("-",B82)-1),2),SUM(MID(B82,FIND("(",B82)+3,(FIND(":",B82)-(FIND("-",B82)+1))),MID(B82,FIND("_",B82)+1,(FIND(":",B82,FIND("_",B82))-FIND("_",B82)-1))),":",SUM(MID(B82,FIND(":",B82)+1,FIND("_",B82)-(FIND(":",B82)+1)),MID(B82,FIND(":",B82,FIND("_",B82))+1,FIND(")",B82)-FIND(":",B82,FIND("_",B82))-1))," ",MID(B82,(FIND(")",B82)+1),100))),B82),IF(ISNUMBER(SEARCH("(",B82)),IF(ISNUMBER(SEARCH("/",B82)),CONCATENATE(MID(B82,1,IF(ISNUMBER(SEARCH(" ",B82)),FIND(" ",B82)-1,FIND("(",B82)-1))," ",(SUM(MID(B82,FIND("(",B82)+1,FIND(":",B82)-FIND("(",B82)-1),MID(B82,FIND("/",B82)+1,FIND(":",B82,FIND("/",B82))-FIND("/",B82)-1))),":",SUM(MID(B82,FIND(":",B82)+1,FIND("/",B82)-FIND(":",B82)-1),MID(B82,FIND(":",B82,FIND("/",B82))+1,FIND(")",B82)-FIND(":",B82,FIND("/",B82))-1)),MID(B82,(FIND(")",B82)+1),100)),CONCATENATE(MID(B82,1,IF(ISNUMBER(SEARCH(" ",B82)),FIND(" ",B82)-1,FIND("(",B82)-1))," ",(SUM(MID(B82,FIND("(",B82)+1,FIND(":",B82)-FIND("(",B82)-1),MID(B82,FIND("_",B82)+1,FIND(":",B82,FIND("_",B82))-FIND("_",B82)-1))),":",SUM(MID(B82,FIND(":",B82)+1,FIND("_",B82)-FIND(":",B82)-1),MID(B82,FIND(":",B82,FIND("_",B82))+1,FIND(")",B82)-FIND(":",B82,FIND("_",B82))-1)),MID(B82,(FIND(")",B82)+1),100))),B82))</f>
        <v>LPE 22:6</v>
      </c>
      <c r="D82" s="29">
        <f>'Enter Values'!B82</f>
        <v>1.8687802612066999</v>
      </c>
      <c r="E82" s="29">
        <f>'Enter Values'!C82</f>
        <v>1.9540001412358801</v>
      </c>
      <c r="F82" s="29">
        <f>'Enter Values'!D82</f>
        <v>1.54783600387347</v>
      </c>
    </row>
    <row r="83" spans="1:13" x14ac:dyDescent="0.2">
      <c r="A83" s="26" t="s">
        <v>429</v>
      </c>
      <c r="B83" s="28" t="str">
        <f>'Enter Values'!A83</f>
        <v>SM d40:3</v>
      </c>
      <c r="C83" s="26" t="str">
        <f>IF(ISNUMBER(SEARCH("(",B83)),IF(ISNUMBER(SEARCH("/",B83)),CONCATENATE(MID(B83,1,IF(ISNUMBER(SEARCH(" ",B83)),FIND(" ",B83)-1,FIND("(",B83)-1))," ","d",(SUM(MID(B83,FIND("(",B83)+2,FIND(":",B83)-FIND("(",B83)-2),MID(B83,FIND("/",B83)+1,FIND(":",B83,FIND("/",B83))-FIND("/",B83)-1))),":",SUM(MID(B83,FIND(":",B83)+1,FIND("/",B83)-FIND(":",B83)-1),MID(B83,FIND(":",B83,FIND("/",B83))+1,FIND(")",B83)-FIND(":",B83,FIND("/",B83))-1)),MID(B83,(FIND(")",B83)+1),100)),CONCATENATE(MID(B83,1,IF(ISNUMBER(SEARCH(" ",B83)),FIND(" ",B83)-1,FIND("(",B83)-1))," ","d",(SUM(MID(B83,FIND("(",B83)+2,FIND(":",B83)-FIND("(",B83)-2),MID(B83,FIND("_",B83)+1,FIND(":",B83,FIND("_",B83))-FIND("_",B83)-1))),":",SUM(MID(B83,FIND(":",B83)+1,FIND("_",B83)-FIND(":",B83)-1),MID(B83,FIND(":",B83,FIND("_",B83))+1,FIND(")",B83)-FIND(":",B83,FIND("_",B83))-1)),MID(B83,(FIND(")",B83)+1),100))),CONCATENATE(MID(B83,1,FIND(" ",B83)-1)," ","d",MID(B83,FIND("d",B83)+1,100)))</f>
        <v>SM d40:3</v>
      </c>
      <c r="D83" s="29">
        <f>'Enter Values'!B83</f>
        <v>1.3370998808938901</v>
      </c>
      <c r="E83" s="29">
        <f>'Enter Values'!C83</f>
        <v>1.2530767322797101</v>
      </c>
      <c r="F83" s="29">
        <f>'Enter Values'!D83</f>
        <v>1.1521652197263601</v>
      </c>
    </row>
    <row r="84" spans="1:13" x14ac:dyDescent="0.2">
      <c r="A84" s="26" t="s">
        <v>441</v>
      </c>
      <c r="B84" s="28" t="str">
        <f>'Enter Values'!A84</f>
        <v>PI 34:1</v>
      </c>
      <c r="C84" s="26" t="str">
        <f>IF(ISNUMBER(SEARCH("-",B84)),IF(ISNUMBER(SEARCH("(",B84)),IF(ISNUMBER(SEARCH("/",B84)),CONCATENATE(MID(B84,1,IF(ISNUMBER(SEARCH(" ",B84)),FIND(" ",B84)-1,FIND("(",B84)-1))," ",MID(B84,IF(ISNUMBER(SEARCH("-",B84)),FIND("-",B84)-1),2),SUM(MID(B84,FIND("(",B84)+3,(FIND(":",B84)-(FIND("-",B84)+1))),MID(B84,FIND("/",B84)+1,(FIND(":",B84,FIND("/",B84))-FIND("/",B84)-1))),":",SUM(MID(B84,FIND(":",B84)+1,FIND("/",B84)-(FIND(":",B84)+1)),MID(B84,FIND(":",B84,FIND("/",B84))+1,FIND(")",B84)-FIND(":",B84,FIND("/",B84))-1))," ",MID(B84,(FIND(")",B84)+1),100)),CONCATENATE(MID(B84,1,IF(ISNUMBER(SEARCH(" ",B84)),FIND(" ",B84)-1,FIND("(",B84)-1))," ",MID(B84,IF(ISNUMBER(SEARCH("-",B84)),FIND("-",B84)-1),2),SUM(MID(B84,FIND("(",B84)+3,(FIND(":",B84)-(FIND("-",B84)+1))),MID(B84,FIND("_",B84)+1,(FIND(":",B84,FIND("_",B84))-FIND("_",B84)-1))),":",SUM(MID(B84,FIND(":",B84)+1,FIND("_",B84)-(FIND(":",B84)+1)),MID(B84,FIND(":",B84,FIND("_",B84))+1,FIND(")",B84)-FIND(":",B84,FIND("_",B84))-1))," ",MID(B84,(FIND(")",B84)+1),100))),B84),IF(ISNUMBER(SEARCH("(",B84)),IF(ISNUMBER(SEARCH("/",B84)),CONCATENATE(MID(B84,1,IF(ISNUMBER(SEARCH(" ",B84)),FIND(" ",B84)-1,FIND("(",B84)-1))," ",(SUM(MID(B84,FIND("(",B84)+1,FIND(":",B84)-FIND("(",B84)-1),MID(B84,FIND("/",B84)+1,FIND(":",B84,FIND("/",B84))-FIND("/",B84)-1))),":",SUM(MID(B84,FIND(":",B84)+1,FIND("/",B84)-FIND(":",B84)-1),MID(B84,FIND(":",B84,FIND("/",B84))+1,FIND(")",B84)-FIND(":",B84,FIND("/",B84))-1)),MID(B84,(FIND(")",B84)+1),100)),CONCATENATE(MID(B84,1,IF(ISNUMBER(SEARCH(" ",B84)),FIND(" ",B84)-1,FIND("(",B84)-1))," ",(SUM(MID(B84,FIND("(",B84)+1,FIND(":",B84)-FIND("(",B84)-1),MID(B84,FIND("_",B84)+1,FIND(":",B84,FIND("_",B84))-FIND("_",B84)-1))),":",SUM(MID(B84,FIND(":",B84)+1,FIND("_",B84)-FIND(":",B84)-1),MID(B84,FIND(":",B84,FIND("_",B84))+1,FIND(")",B84)-FIND(":",B84,FIND("_",B84))-1)),MID(B84,(FIND(")",B84)+1),100))),B84))</f>
        <v>PI 34:1</v>
      </c>
      <c r="D84" s="29">
        <f>'Enter Values'!B84</f>
        <v>1.2275655986430101</v>
      </c>
      <c r="E84" s="29">
        <f>'Enter Values'!C84</f>
        <v>1.28226366464235</v>
      </c>
      <c r="F84" s="29">
        <f>'Enter Values'!D84</f>
        <v>0.65701035141928799</v>
      </c>
    </row>
    <row r="85" spans="1:13" x14ac:dyDescent="0.2">
      <c r="A85" s="26" t="s">
        <v>441</v>
      </c>
      <c r="B85" s="28" t="str">
        <f>'Enter Values'!A85</f>
        <v>PI 36:3</v>
      </c>
      <c r="C85" s="26" t="str">
        <f>IF(ISNUMBER(SEARCH("-",B85)),IF(ISNUMBER(SEARCH("(",B85)),IF(ISNUMBER(SEARCH("/",B85)),CONCATENATE(MID(B85,1,IF(ISNUMBER(SEARCH(" ",B85)),FIND(" ",B85)-1,FIND("(",B85)-1))," ",MID(B85,IF(ISNUMBER(SEARCH("-",B85)),FIND("-",B85)-1),2),SUM(MID(B85,FIND("(",B85)+3,(FIND(":",B85)-(FIND("-",B85)+1))),MID(B85,FIND("/",B85)+1,(FIND(":",B85,FIND("/",B85))-FIND("/",B85)-1))),":",SUM(MID(B85,FIND(":",B85)+1,FIND("/",B85)-(FIND(":",B85)+1)),MID(B85,FIND(":",B85,FIND("/",B85))+1,FIND(")",B85)-FIND(":",B85,FIND("/",B85))-1))," ",MID(B85,(FIND(")",B85)+1),100)),CONCATENATE(MID(B85,1,IF(ISNUMBER(SEARCH(" ",B85)),FIND(" ",B85)-1,FIND("(",B85)-1))," ",MID(B85,IF(ISNUMBER(SEARCH("-",B85)),FIND("-",B85)-1),2),SUM(MID(B85,FIND("(",B85)+3,(FIND(":",B85)-(FIND("-",B85)+1))),MID(B85,FIND("_",B85)+1,(FIND(":",B85,FIND("_",B85))-FIND("_",B85)-1))),":",SUM(MID(B85,FIND(":",B85)+1,FIND("_",B85)-(FIND(":",B85)+1)),MID(B85,FIND(":",B85,FIND("_",B85))+1,FIND(")",B85)-FIND(":",B85,FIND("_",B85))-1))," ",MID(B85,(FIND(")",B85)+1),100))),B85),IF(ISNUMBER(SEARCH("(",B85)),IF(ISNUMBER(SEARCH("/",B85)),CONCATENATE(MID(B85,1,IF(ISNUMBER(SEARCH(" ",B85)),FIND(" ",B85)-1,FIND("(",B85)-1))," ",(SUM(MID(B85,FIND("(",B85)+1,FIND(":",B85)-FIND("(",B85)-1),MID(B85,FIND("/",B85)+1,FIND(":",B85,FIND("/",B85))-FIND("/",B85)-1))),":",SUM(MID(B85,FIND(":",B85)+1,FIND("/",B85)-FIND(":",B85)-1),MID(B85,FIND(":",B85,FIND("/",B85))+1,FIND(")",B85)-FIND(":",B85,FIND("/",B85))-1)),MID(B85,(FIND(")",B85)+1),100)),CONCATENATE(MID(B85,1,IF(ISNUMBER(SEARCH(" ",B85)),FIND(" ",B85)-1,FIND("(",B85)-1))," ",(SUM(MID(B85,FIND("(",B85)+1,FIND(":",B85)-FIND("(",B85)-1),MID(B85,FIND("_",B85)+1,FIND(":",B85,FIND("_",B85))-FIND("_",B85)-1))),":",SUM(MID(B85,FIND(":",B85)+1,FIND("_",B85)-FIND(":",B85)-1),MID(B85,FIND(":",B85,FIND("_",B85))+1,FIND(")",B85)-FIND(":",B85,FIND("_",B85))-1)),MID(B85,(FIND(")",B85)+1),100))),B85))</f>
        <v>PI 36:3</v>
      </c>
      <c r="D85" s="29">
        <f>'Enter Values'!B85</f>
        <v>1.1354086079394199</v>
      </c>
      <c r="E85" s="29">
        <f>'Enter Values'!C85</f>
        <v>1.0003511818583799</v>
      </c>
      <c r="F85" s="29">
        <f>'Enter Values'!D85</f>
        <v>1.05765112584175</v>
      </c>
    </row>
    <row r="86" spans="1:13" x14ac:dyDescent="0.2">
      <c r="A86" s="26" t="s">
        <v>426</v>
      </c>
      <c r="B86" s="28" t="str">
        <f>'Enter Values'!A86</f>
        <v>LPE 20:4</v>
      </c>
      <c r="C86" s="26" t="str">
        <f>IF(ISNUMBER(SEARCH("-",B86)),IF(ISNUMBER(SEARCH("(",B86)),IF(ISNUMBER(SEARCH("/",B86)),CONCATENATE(MID(B86,1,IF(ISNUMBER(SEARCH(" ",B86)),FIND(" ",B86)-1,FIND("(",B86)-1))," ",MID(B86,IF(ISNUMBER(SEARCH("-",B86)),FIND("-",B86)-1),2),SUM(MID(B86,FIND("(",B86)+3,(FIND(":",B86)-(FIND("-",B86)+1))),MID(B86,FIND("/",B86)+1,(FIND(":",B86,FIND("/",B86))-FIND("/",B86)-1))),":",SUM(MID(B86,FIND(":",B86)+1,FIND("/",B86)-(FIND(":",B86)+1)),MID(B86,FIND(":",B86,FIND("/",B86))+1,FIND(")",B86)-FIND(":",B86,FIND("/",B86))-1))," ",MID(B86,(FIND(")",B86)+1),100)),CONCATENATE(MID(B86,1,IF(ISNUMBER(SEARCH(" ",B86)),FIND(" ",B86)-1,FIND("(",B86)-1))," ",MID(B86,IF(ISNUMBER(SEARCH("-",B86)),FIND("-",B86)-1),2),SUM(MID(B86,FIND("(",B86)+3,(FIND(":",B86)-(FIND("-",B86)+1))),MID(B86,FIND("_",B86)+1,(FIND(":",B86,FIND("_",B86))-FIND("_",B86)-1))),":",SUM(MID(B86,FIND(":",B86)+1,FIND("_",B86)-(FIND(":",B86)+1)),MID(B86,FIND(":",B86,FIND("_",B86))+1,FIND(")",B86)-FIND(":",B86,FIND("_",B86))-1))," ",MID(B86,(FIND(")",B86)+1),100))),B86),IF(ISNUMBER(SEARCH("(",B86)),IF(ISNUMBER(SEARCH("/",B86)),CONCATENATE(MID(B86,1,IF(ISNUMBER(SEARCH(" ",B86)),FIND(" ",B86)-1,FIND("(",B86)-1))," ",(SUM(MID(B86,FIND("(",B86)+1,FIND(":",B86)-FIND("(",B86)-1),MID(B86,FIND("/",B86)+1,FIND(":",B86,FIND("/",B86))-FIND("/",B86)-1))),":",SUM(MID(B86,FIND(":",B86)+1,FIND("/",B86)-FIND(":",B86)-1),MID(B86,FIND(":",B86,FIND("/",B86))+1,FIND(")",B86)-FIND(":",B86,FIND("/",B86))-1)),MID(B86,(FIND(")",B86)+1),100)),CONCATENATE(MID(B86,1,IF(ISNUMBER(SEARCH(" ",B86)),FIND(" ",B86)-1,FIND("(",B86)-1))," ",(SUM(MID(B86,FIND("(",B86)+1,FIND(":",B86)-FIND("(",B86)-1),MID(B86,FIND("_",B86)+1,FIND(":",B86,FIND("_",B86))-FIND("_",B86)-1))),":",SUM(MID(B86,FIND(":",B86)+1,FIND("_",B86)-FIND(":",B86)-1),MID(B86,FIND(":",B86,FIND("_",B86))+1,FIND(")",B86)-FIND(":",B86,FIND("_",B86))-1)),MID(B86,(FIND(")",B86)+1),100))),B86))</f>
        <v>LPE 20:4</v>
      </c>
      <c r="D86" s="29">
        <f>'Enter Values'!B86</f>
        <v>1.58061353200765</v>
      </c>
      <c r="E86" s="29">
        <f>'Enter Values'!C86</f>
        <v>1.6300362571434699</v>
      </c>
      <c r="F86" s="29">
        <f>'Enter Values'!D86</f>
        <v>1.8202674938004999</v>
      </c>
    </row>
    <row r="87" spans="1:13" x14ac:dyDescent="0.2">
      <c r="A87" s="26" t="s">
        <v>428</v>
      </c>
      <c r="B87" s="28" t="str">
        <f>'Enter Values'!A87</f>
        <v>PE O-38:4</v>
      </c>
      <c r="C87" s="26" t="str">
        <f>IF(ISNUMBER(SEARCH("-",B87)),IF(ISNUMBER(SEARCH("(",B87)),IF(ISNUMBER(SEARCH("/",B87)),CONCATENATE(MID(B87,1,IF(ISNUMBER(SEARCH(" ",B87)),FIND(" ",B87)-1,FIND("(",B87)-1))," ",MID(B87,IF(ISNUMBER(SEARCH("-",B87)),FIND("-",B87)-1),2),SUM(MID(B87,FIND("(",B87)+3,(FIND(":",B87)-(FIND("-",B87)+1))),MID(B87,FIND("/",B87)+1,(FIND(":",B87,FIND("/",B87))-FIND("/",B87)-1))),":",SUM(MID(B87,FIND(":",B87)+1,FIND("/",B87)-(FIND(":",B87)+1)),MID(B87,FIND(":",B87,FIND("/",B87))+1,FIND(")",B87)-FIND(":",B87,FIND("/",B87))-1))," ",MID(B87,(FIND(")",B87)+1),100)),CONCATENATE(MID(B87,1,IF(ISNUMBER(SEARCH(" ",B87)),FIND(" ",B87)-1,FIND("(",B87)-1))," ",MID(B87,IF(ISNUMBER(SEARCH("-",B87)),FIND("-",B87)-1),2),SUM(MID(B87,FIND("(",B87)+3,(FIND(":",B87)-(FIND("-",B87)+1))),MID(B87,FIND("_",B87)+1,(FIND(":",B87,FIND("_",B87))-FIND("_",B87)-1))),":",SUM(MID(B87,FIND(":",B87)+1,FIND("_",B87)-(FIND(":",B87)+1)),MID(B87,FIND(":",B87,FIND("_",B87))+1,FIND(")",B87)-FIND(":",B87,FIND("_",B87))-1))," ",MID(B87,(FIND(")",B87)+1),100))),B87),IF(ISNUMBER(SEARCH("(",B87)),IF(ISNUMBER(SEARCH("/",B87)),CONCATENATE(MID(B87,1,IF(ISNUMBER(SEARCH(" ",B87)),FIND(" ",B87)-1,FIND("(",B87)-1))," ",(SUM(MID(B87,FIND("(",B87)+1,FIND(":",B87)-FIND("(",B87)-1),MID(B87,FIND("/",B87)+1,FIND(":",B87,FIND("/",B87))-FIND("/",B87)-1))),":",SUM(MID(B87,FIND(":",B87)+1,FIND("/",B87)-FIND(":",B87)-1),MID(B87,FIND(":",B87,FIND("/",B87))+1,FIND(")",B87)-FIND(":",B87,FIND("/",B87))-1)),MID(B87,(FIND(")",B87)+1),100)),CONCATENATE(MID(B87,1,IF(ISNUMBER(SEARCH(" ",B87)),FIND(" ",B87)-1,FIND("(",B87)-1))," ",(SUM(MID(B87,FIND("(",B87)+1,FIND(":",B87)-FIND("(",B87)-1),MID(B87,FIND("_",B87)+1,FIND(":",B87,FIND("_",B87))-FIND("_",B87)-1))),":",SUM(MID(B87,FIND(":",B87)+1,FIND("_",B87)-FIND(":",B87)-1),MID(B87,FIND(":",B87,FIND("_",B87))+1,FIND(")",B87)-FIND(":",B87,FIND("_",B87))-1)),MID(B87,(FIND(")",B87)+1),100))),B87))</f>
        <v>PE O-38:4</v>
      </c>
      <c r="D87" s="29">
        <f>'Enter Values'!B87</f>
        <v>0.52243858272586896</v>
      </c>
      <c r="E87" s="29">
        <f>'Enter Values'!C87</f>
        <v>0.54469932063767001</v>
      </c>
      <c r="F87" s="29">
        <f>'Enter Values'!D87</f>
        <v>0.49026455692627002</v>
      </c>
    </row>
    <row r="88" spans="1:13" x14ac:dyDescent="0.2">
      <c r="A88" s="26" t="s">
        <v>427</v>
      </c>
      <c r="B88" s="28" t="str">
        <f>'Enter Values'!A88</f>
        <v>PC O-38:2</v>
      </c>
      <c r="C88" s="26" t="str">
        <f>IF(ISNUMBER(SEARCH("-",B88)),IF(ISNUMBER(SEARCH("(",B88)),IF(ISNUMBER(SEARCH("/",B88)),CONCATENATE(MID(B88,1,IF(ISNUMBER(SEARCH(" ",B88)),FIND(" ",B88)-1,FIND("(",B88)-1))," ",MID(B88,IF(ISNUMBER(SEARCH("-",B88)),FIND("-",B88)-1),2),SUM(MID(B88,FIND("(",B88)+3,(FIND(":",B88)-(FIND("-",B88)+1))),MID(B88,FIND("/",B88)+1,(FIND(":",B88,FIND("/",B88))-FIND("/",B88)-1))),":",SUM(MID(B88,FIND(":",B88)+1,FIND("/",B88)-(FIND(":",B88)+1)),MID(B88,FIND(":",B88,FIND("/",B88))+1,FIND(")",B88)-FIND(":",B88,FIND("/",B88))-1))," ",MID(B88,(FIND(")",B88)+1),100)),CONCATENATE(MID(B88,1,IF(ISNUMBER(SEARCH(" ",B88)),FIND(" ",B88)-1,FIND("(",B88)-1))," ",MID(B88,IF(ISNUMBER(SEARCH("-",B88)),FIND("-",B88)-1),2),SUM(MID(B88,FIND("(",B88)+3,(FIND(":",B88)-(FIND("-",B88)+1))),MID(B88,FIND("_",B88)+1,(FIND(":",B88,FIND("_",B88))-FIND("_",B88)-1))),":",SUM(MID(B88,FIND(":",B88)+1,FIND("_",B88)-(FIND(":",B88)+1)),MID(B88,FIND(":",B88,FIND("_",B88))+1,FIND(")",B88)-FIND(":",B88,FIND("_",B88))-1))," ",MID(B88,(FIND(")",B88)+1),100))),B88),IF(ISNUMBER(SEARCH("(",B88)),IF(ISNUMBER(SEARCH("/",B88)),CONCATENATE(MID(B88,1,IF(ISNUMBER(SEARCH(" ",B88)),FIND(" ",B88)-1,FIND("(",B88)-1))," ",(SUM(MID(B88,FIND("(",B88)+1,FIND(":",B88)-FIND("(",B88)-1),MID(B88,FIND("/",B88)+1,FIND(":",B88,FIND("/",B88))-FIND("/",B88)-1))),":",SUM(MID(B88,FIND(":",B88)+1,FIND("/",B88)-FIND(":",B88)-1),MID(B88,FIND(":",B88,FIND("/",B88))+1,FIND(")",B88)-FIND(":",B88,FIND("/",B88))-1)),MID(B88,(FIND(")",B88)+1),100)),CONCATENATE(MID(B88,1,IF(ISNUMBER(SEARCH(" ",B88)),FIND(" ",B88)-1,FIND("(",B88)-1))," ",(SUM(MID(B88,FIND("(",B88)+1,FIND(":",B88)-FIND("(",B88)-1),MID(B88,FIND("_",B88)+1,FIND(":",B88,FIND("_",B88))-FIND("_",B88)-1))),":",SUM(MID(B88,FIND(":",B88)+1,FIND("_",B88)-FIND(":",B88)-1),MID(B88,FIND(":",B88,FIND("_",B88))+1,FIND(")",B88)-FIND(":",B88,FIND("_",B88))-1)),MID(B88,(FIND(")",B88)+1),100))),B88))</f>
        <v>PC O-38:2</v>
      </c>
      <c r="D88" s="29">
        <f>'Enter Values'!B88</f>
        <v>0.963501785191066</v>
      </c>
      <c r="E88" s="29">
        <f>'Enter Values'!C88</f>
        <v>0.98660892822741297</v>
      </c>
      <c r="F88" s="29">
        <f>'Enter Values'!D88</f>
        <v>1.11691510416589</v>
      </c>
    </row>
    <row r="89" spans="1:13" x14ac:dyDescent="0.2">
      <c r="A89" s="26" t="s">
        <v>426</v>
      </c>
      <c r="B89" s="28" t="str">
        <f>'Enter Values'!A89</f>
        <v>LPE 18:2</v>
      </c>
      <c r="C89" s="26" t="str">
        <f>IF(ISNUMBER(SEARCH("-",B89)),IF(ISNUMBER(SEARCH("(",B89)),IF(ISNUMBER(SEARCH("/",B89)),CONCATENATE(MID(B89,1,IF(ISNUMBER(SEARCH(" ",B89)),FIND(" ",B89)-1,FIND("(",B89)-1))," ",MID(B89,IF(ISNUMBER(SEARCH("-",B89)),FIND("-",B89)-1),2),SUM(MID(B89,FIND("(",B89)+3,(FIND(":",B89)-(FIND("-",B89)+1))),MID(B89,FIND("/",B89)+1,(FIND(":",B89,FIND("/",B89))-FIND("/",B89)-1))),":",SUM(MID(B89,FIND(":",B89)+1,FIND("/",B89)-(FIND(":",B89)+1)),MID(B89,FIND(":",B89,FIND("/",B89))+1,FIND(")",B89)-FIND(":",B89,FIND("/",B89))-1))," ",MID(B89,(FIND(")",B89)+1),100)),CONCATENATE(MID(B89,1,IF(ISNUMBER(SEARCH(" ",B89)),FIND(" ",B89)-1,FIND("(",B89)-1))," ",MID(B89,IF(ISNUMBER(SEARCH("-",B89)),FIND("-",B89)-1),2),SUM(MID(B89,FIND("(",B89)+3,(FIND(":",B89)-(FIND("-",B89)+1))),MID(B89,FIND("_",B89)+1,(FIND(":",B89,FIND("_",B89))-FIND("_",B89)-1))),":",SUM(MID(B89,FIND(":",B89)+1,FIND("_",B89)-(FIND(":",B89)+1)),MID(B89,FIND(":",B89,FIND("_",B89))+1,FIND(")",B89)-FIND(":",B89,FIND("_",B89))-1))," ",MID(B89,(FIND(")",B89)+1),100))),B89),IF(ISNUMBER(SEARCH("(",B89)),IF(ISNUMBER(SEARCH("/",B89)),CONCATENATE(MID(B89,1,IF(ISNUMBER(SEARCH(" ",B89)),FIND(" ",B89)-1,FIND("(",B89)-1))," ",(SUM(MID(B89,FIND("(",B89)+1,FIND(":",B89)-FIND("(",B89)-1),MID(B89,FIND("/",B89)+1,FIND(":",B89,FIND("/",B89))-FIND("/",B89)-1))),":",SUM(MID(B89,FIND(":",B89)+1,FIND("/",B89)-FIND(":",B89)-1),MID(B89,FIND(":",B89,FIND("/",B89))+1,FIND(")",B89)-FIND(":",B89,FIND("/",B89))-1)),MID(B89,(FIND(")",B89)+1),100)),CONCATENATE(MID(B89,1,IF(ISNUMBER(SEARCH(" ",B89)),FIND(" ",B89)-1,FIND("(",B89)-1))," ",(SUM(MID(B89,FIND("(",B89)+1,FIND(":",B89)-FIND("(",B89)-1),MID(B89,FIND("_",B89)+1,FIND(":",B89,FIND("_",B89))-FIND("_",B89)-1))),":",SUM(MID(B89,FIND(":",B89)+1,FIND("_",B89)-FIND(":",B89)-1),MID(B89,FIND(":",B89,FIND("_",B89))+1,FIND(")",B89)-FIND(":",B89,FIND("_",B89))-1)),MID(B89,(FIND(")",B89)+1),100))),B89))</f>
        <v>LPE 18:2</v>
      </c>
      <c r="D89" s="29">
        <f>'Enter Values'!B89</f>
        <v>1.4371783602222601</v>
      </c>
      <c r="E89" s="29">
        <f>'Enter Values'!C89</f>
        <v>1.4845423946346199</v>
      </c>
      <c r="F89" s="29">
        <f>'Enter Values'!D89</f>
        <v>1.69238241753719</v>
      </c>
      <c r="M89" s="30"/>
    </row>
    <row r="90" spans="1:13" x14ac:dyDescent="0.2">
      <c r="A90" s="26" t="s">
        <v>428</v>
      </c>
      <c r="B90" s="28" t="str">
        <f>'Enter Values'!A90</f>
        <v>PE O-34:3</v>
      </c>
      <c r="C90" s="26" t="str">
        <f>IF(ISNUMBER(SEARCH("-",B90)),IF(ISNUMBER(SEARCH("(",B90)),IF(ISNUMBER(SEARCH("/",B90)),CONCATENATE(MID(B90,1,IF(ISNUMBER(SEARCH(" ",B90)),FIND(" ",B90)-1,FIND("(",B90)-1))," ",MID(B90,IF(ISNUMBER(SEARCH("-",B90)),FIND("-",B90)-1),2),SUM(MID(B90,FIND("(",B90)+3,(FIND(":",B90)-(FIND("-",B90)+1))),MID(B90,FIND("/",B90)+1,(FIND(":",B90,FIND("/",B90))-FIND("/",B90)-1))),":",SUM(MID(B90,FIND(":",B90)+1,FIND("/",B90)-(FIND(":",B90)+1)),MID(B90,FIND(":",B90,FIND("/",B90))+1,FIND(")",B90)-FIND(":",B90,FIND("/",B90))-1))," ",MID(B90,(FIND(")",B90)+1),100)),CONCATENATE(MID(B90,1,IF(ISNUMBER(SEARCH(" ",B90)),FIND(" ",B90)-1,FIND("(",B90)-1))," ",MID(B90,IF(ISNUMBER(SEARCH("-",B90)),FIND("-",B90)-1),2),SUM(MID(B90,FIND("(",B90)+3,(FIND(":",B90)-(FIND("-",B90)+1))),MID(B90,FIND("_",B90)+1,(FIND(":",B90,FIND("_",B90))-FIND("_",B90)-1))),":",SUM(MID(B90,FIND(":",B90)+1,FIND("_",B90)-(FIND(":",B90)+1)),MID(B90,FIND(":",B90,FIND("_",B90))+1,FIND(")",B90)-FIND(":",B90,FIND("_",B90))-1))," ",MID(B90,(FIND(")",B90)+1),100))),B90),IF(ISNUMBER(SEARCH("(",B90)),IF(ISNUMBER(SEARCH("/",B90)),CONCATENATE(MID(B90,1,IF(ISNUMBER(SEARCH(" ",B90)),FIND(" ",B90)-1,FIND("(",B90)-1))," ",(SUM(MID(B90,FIND("(",B90)+1,FIND(":",B90)-FIND("(",B90)-1),MID(B90,FIND("/",B90)+1,FIND(":",B90,FIND("/",B90))-FIND("/",B90)-1))),":",SUM(MID(B90,FIND(":",B90)+1,FIND("/",B90)-FIND(":",B90)-1),MID(B90,FIND(":",B90,FIND("/",B90))+1,FIND(")",B90)-FIND(":",B90,FIND("/",B90))-1)),MID(B90,(FIND(")",B90)+1),100)),CONCATENATE(MID(B90,1,IF(ISNUMBER(SEARCH(" ",B90)),FIND(" ",B90)-1,FIND("(",B90)-1))," ",(SUM(MID(B90,FIND("(",B90)+1,FIND(":",B90)-FIND("(",B90)-1),MID(B90,FIND("_",B90)+1,FIND(":",B90,FIND("_",B90))-FIND("_",B90)-1))),":",SUM(MID(B90,FIND(":",B90)+1,FIND("_",B90)-FIND(":",B90)-1),MID(B90,FIND(":",B90,FIND("_",B90))+1,FIND(")",B90)-FIND(":",B90,FIND("_",B90))-1)),MID(B90,(FIND(")",B90)+1),100))),B90))</f>
        <v>PE O-34:3</v>
      </c>
      <c r="D90" s="29">
        <f>'Enter Values'!B90</f>
        <v>0.484014448095553</v>
      </c>
      <c r="E90" s="29">
        <f>'Enter Values'!C90</f>
        <v>0.51845739834660698</v>
      </c>
      <c r="F90" s="29">
        <f>'Enter Values'!D90</f>
        <v>0.45834366540314903</v>
      </c>
    </row>
    <row r="91" spans="1:13" x14ac:dyDescent="0.2">
      <c r="A91" s="26" t="s">
        <v>428</v>
      </c>
      <c r="B91" s="28" t="str">
        <f>'Enter Values'!A91</f>
        <v>PE 40:6</v>
      </c>
      <c r="C91" s="26" t="str">
        <f>IF(ISNUMBER(SEARCH("-",B91)),IF(ISNUMBER(SEARCH("(",B91)),IF(ISNUMBER(SEARCH("/",B91)),CONCATENATE(MID(B91,1,IF(ISNUMBER(SEARCH(" ",B91)),FIND(" ",B91)-1,FIND("(",B91)-1))," ",MID(B91,IF(ISNUMBER(SEARCH("-",B91)),FIND("-",B91)-1),2),SUM(MID(B91,FIND("(",B91)+3,(FIND(":",B91)-(FIND("-",B91)+1))),MID(B91,FIND("/",B91)+1,(FIND(":",B91,FIND("/",B91))-FIND("/",B91)-1))),":",SUM(MID(B91,FIND(":",B91)+1,FIND("/",B91)-(FIND(":",B91)+1)),MID(B91,FIND(":",B91,FIND("/",B91))+1,FIND(")",B91)-FIND(":",B91,FIND("/",B91))-1))," ",MID(B91,(FIND(")",B91)+1),100)),CONCATENATE(MID(B91,1,IF(ISNUMBER(SEARCH(" ",B91)),FIND(" ",B91)-1,FIND("(",B91)-1))," ",MID(B91,IF(ISNUMBER(SEARCH("-",B91)),FIND("-",B91)-1),2),SUM(MID(B91,FIND("(",B91)+3,(FIND(":",B91)-(FIND("-",B91)+1))),MID(B91,FIND("_",B91)+1,(FIND(":",B91,FIND("_",B91))-FIND("_",B91)-1))),":",SUM(MID(B91,FIND(":",B91)+1,FIND("_",B91)-(FIND(":",B91)+1)),MID(B91,FIND(":",B91,FIND("_",B91))+1,FIND(")",B91)-FIND(":",B91,FIND("_",B91))-1))," ",MID(B91,(FIND(")",B91)+1),100))),B91),IF(ISNUMBER(SEARCH("(",B91)),IF(ISNUMBER(SEARCH("/",B91)),CONCATENATE(MID(B91,1,IF(ISNUMBER(SEARCH(" ",B91)),FIND(" ",B91)-1,FIND("(",B91)-1))," ",(SUM(MID(B91,FIND("(",B91)+1,FIND(":",B91)-FIND("(",B91)-1),MID(B91,FIND("/",B91)+1,FIND(":",B91,FIND("/",B91))-FIND("/",B91)-1))),":",SUM(MID(B91,FIND(":",B91)+1,FIND("/",B91)-FIND(":",B91)-1),MID(B91,FIND(":",B91,FIND("/",B91))+1,FIND(")",B91)-FIND(":",B91,FIND("/",B91))-1)),MID(B91,(FIND(")",B91)+1),100)),CONCATENATE(MID(B91,1,IF(ISNUMBER(SEARCH(" ",B91)),FIND(" ",B91)-1,FIND("(",B91)-1))," ",(SUM(MID(B91,FIND("(",B91)+1,FIND(":",B91)-FIND("(",B91)-1),MID(B91,FIND("_",B91)+1,FIND(":",B91,FIND("_",B91))-FIND("_",B91)-1))),":",SUM(MID(B91,FIND(":",B91)+1,FIND("_",B91)-FIND(":",B91)-1),MID(B91,FIND(":",B91,FIND("_",B91))+1,FIND(")",B91)-FIND(":",B91,FIND("_",B91))-1)),MID(B91,(FIND(")",B91)+1),100))),B91))</f>
        <v>PE 40:6</v>
      </c>
      <c r="D91" s="29">
        <f>'Enter Values'!B91</f>
        <v>0.48066947088818801</v>
      </c>
      <c r="E91" s="29">
        <f>'Enter Values'!C91</f>
        <v>0.52000542157491203</v>
      </c>
      <c r="F91" s="29">
        <f>'Enter Values'!D91</f>
        <v>0.51871568363616205</v>
      </c>
    </row>
    <row r="92" spans="1:13" x14ac:dyDescent="0.2">
      <c r="A92" s="26" t="s">
        <v>427</v>
      </c>
      <c r="B92" s="28" t="str">
        <f>'Enter Values'!A92</f>
        <v>PC O-40:4</v>
      </c>
      <c r="C92" s="26" t="str">
        <f>IF(ISNUMBER(SEARCH("-",B92)),IF(ISNUMBER(SEARCH("(",B92)),IF(ISNUMBER(SEARCH("/",B92)),CONCATENATE(MID(B92,1,IF(ISNUMBER(SEARCH(" ",B92)),FIND(" ",B92)-1,FIND("(",B92)-1))," ",MID(B92,IF(ISNUMBER(SEARCH("-",B92)),FIND("-",B92)-1),2),SUM(MID(B92,FIND("(",B92)+3,(FIND(":",B92)-(FIND("-",B92)+1))),MID(B92,FIND("/",B92)+1,(FIND(":",B92,FIND("/",B92))-FIND("/",B92)-1))),":",SUM(MID(B92,FIND(":",B92)+1,FIND("/",B92)-(FIND(":",B92)+1)),MID(B92,FIND(":",B92,FIND("/",B92))+1,FIND(")",B92)-FIND(":",B92,FIND("/",B92))-1))," ",MID(B92,(FIND(")",B92)+1),100)),CONCATENATE(MID(B92,1,IF(ISNUMBER(SEARCH(" ",B92)),FIND(" ",B92)-1,FIND("(",B92)-1))," ",MID(B92,IF(ISNUMBER(SEARCH("-",B92)),FIND("-",B92)-1),2),SUM(MID(B92,FIND("(",B92)+3,(FIND(":",B92)-(FIND("-",B92)+1))),MID(B92,FIND("_",B92)+1,(FIND(":",B92,FIND("_",B92))-FIND("_",B92)-1))),":",SUM(MID(B92,FIND(":",B92)+1,FIND("_",B92)-(FIND(":",B92)+1)),MID(B92,FIND(":",B92,FIND("_",B92))+1,FIND(")",B92)-FIND(":",B92,FIND("_",B92))-1))," ",MID(B92,(FIND(")",B92)+1),100))),B92),IF(ISNUMBER(SEARCH("(",B92)),IF(ISNUMBER(SEARCH("/",B92)),CONCATENATE(MID(B92,1,IF(ISNUMBER(SEARCH(" ",B92)),FIND(" ",B92)-1,FIND("(",B92)-1))," ",(SUM(MID(B92,FIND("(",B92)+1,FIND(":",B92)-FIND("(",B92)-1),MID(B92,FIND("/",B92)+1,FIND(":",B92,FIND("/",B92))-FIND("/",B92)-1))),":",SUM(MID(B92,FIND(":",B92)+1,FIND("/",B92)-FIND(":",B92)-1),MID(B92,FIND(":",B92,FIND("/",B92))+1,FIND(")",B92)-FIND(":",B92,FIND("/",B92))-1)),MID(B92,(FIND(")",B92)+1),100)),CONCATENATE(MID(B92,1,IF(ISNUMBER(SEARCH(" ",B92)),FIND(" ",B92)-1,FIND("(",B92)-1))," ",(SUM(MID(B92,FIND("(",B92)+1,FIND(":",B92)-FIND("(",B92)-1),MID(B92,FIND("_",B92)+1,FIND(":",B92,FIND("_",B92))-FIND("_",B92)-1))),":",SUM(MID(B92,FIND(":",B92)+1,FIND("_",B92)-FIND(":",B92)-1),MID(B92,FIND(":",B92,FIND("_",B92))+1,FIND(")",B92)-FIND(":",B92,FIND("_",B92))-1)),MID(B92,(FIND(")",B92)+1),100))),B92))</f>
        <v>PC O-40:4</v>
      </c>
      <c r="D92" s="29">
        <f>'Enter Values'!B92</f>
        <v>0.90056055687048497</v>
      </c>
      <c r="E92" s="29">
        <f>'Enter Values'!C92</f>
        <v>1.07058541024789</v>
      </c>
      <c r="F92" s="29">
        <f>'Enter Values'!D92</f>
        <v>0.64908020944459199</v>
      </c>
    </row>
    <row r="93" spans="1:13" x14ac:dyDescent="0.2">
      <c r="A93" s="26" t="s">
        <v>441</v>
      </c>
      <c r="B93" s="28" t="str">
        <f>'Enter Values'!A93</f>
        <v>PI 38:5</v>
      </c>
      <c r="C93" s="26" t="str">
        <f>IF(ISNUMBER(SEARCH("-",B93)),IF(ISNUMBER(SEARCH("(",B93)),IF(ISNUMBER(SEARCH("/",B93)),CONCATENATE(MID(B93,1,IF(ISNUMBER(SEARCH(" ",B93)),FIND(" ",B93)-1,FIND("(",B93)-1))," ",MID(B93,IF(ISNUMBER(SEARCH("-",B93)),FIND("-",B93)-1),2),SUM(MID(B93,FIND("(",B93)+3,(FIND(":",B93)-(FIND("-",B93)+1))),MID(B93,FIND("/",B93)+1,(FIND(":",B93,FIND("/",B93))-FIND("/",B93)-1))),":",SUM(MID(B93,FIND(":",B93)+1,FIND("/",B93)-(FIND(":",B93)+1)),MID(B93,FIND(":",B93,FIND("/",B93))+1,FIND(")",B93)-FIND(":",B93,FIND("/",B93))-1))," ",MID(B93,(FIND(")",B93)+1),100)),CONCATENATE(MID(B93,1,IF(ISNUMBER(SEARCH(" ",B93)),FIND(" ",B93)-1,FIND("(",B93)-1))," ",MID(B93,IF(ISNUMBER(SEARCH("-",B93)),FIND("-",B93)-1),2),SUM(MID(B93,FIND("(",B93)+3,(FIND(":",B93)-(FIND("-",B93)+1))),MID(B93,FIND("_",B93)+1,(FIND(":",B93,FIND("_",B93))-FIND("_",B93)-1))),":",SUM(MID(B93,FIND(":",B93)+1,FIND("_",B93)-(FIND(":",B93)+1)),MID(B93,FIND(":",B93,FIND("_",B93))+1,FIND(")",B93)-FIND(":",B93,FIND("_",B93))-1))," ",MID(B93,(FIND(")",B93)+1),100))),B93),IF(ISNUMBER(SEARCH("(",B93)),IF(ISNUMBER(SEARCH("/",B93)),CONCATENATE(MID(B93,1,IF(ISNUMBER(SEARCH(" ",B93)),FIND(" ",B93)-1,FIND("(",B93)-1))," ",(SUM(MID(B93,FIND("(",B93)+1,FIND(":",B93)-FIND("(",B93)-1),MID(B93,FIND("/",B93)+1,FIND(":",B93,FIND("/",B93))-FIND("/",B93)-1))),":",SUM(MID(B93,FIND(":",B93)+1,FIND("/",B93)-FIND(":",B93)-1),MID(B93,FIND(":",B93,FIND("/",B93))+1,FIND(")",B93)-FIND(":",B93,FIND("/",B93))-1)),MID(B93,(FIND(")",B93)+1),100)),CONCATENATE(MID(B93,1,IF(ISNUMBER(SEARCH(" ",B93)),FIND(" ",B93)-1,FIND("(",B93)-1))," ",(SUM(MID(B93,FIND("(",B93)+1,FIND(":",B93)-FIND("(",B93)-1),MID(B93,FIND("_",B93)+1,FIND(":",B93,FIND("_",B93))-FIND("_",B93)-1))),":",SUM(MID(B93,FIND(":",B93)+1,FIND("_",B93)-FIND(":",B93)-1),MID(B93,FIND(":",B93,FIND("_",B93))+1,FIND(")",B93)-FIND(":",B93,FIND("_",B93))-1)),MID(B93,(FIND(")",B93)+1),100))),B93))</f>
        <v>PI 38:5</v>
      </c>
      <c r="D93" s="29">
        <f>'Enter Values'!B93</f>
        <v>0.97474248444469702</v>
      </c>
      <c r="E93" s="29">
        <f>'Enter Values'!C93</f>
        <v>0.88531879027180604</v>
      </c>
      <c r="F93" s="29">
        <f>'Enter Values'!D93</f>
        <v>0.92363411817319396</v>
      </c>
    </row>
    <row r="94" spans="1:13" x14ac:dyDescent="0.2">
      <c r="A94" s="26" t="s">
        <v>427</v>
      </c>
      <c r="B94" s="28" t="str">
        <f>'Enter Values'!A94</f>
        <v>PC O-32:1</v>
      </c>
      <c r="C94" s="26" t="str">
        <f>IF(ISNUMBER(SEARCH("-",B94)),IF(ISNUMBER(SEARCH("(",B94)),IF(ISNUMBER(SEARCH("/",B94)),CONCATENATE(MID(B94,1,IF(ISNUMBER(SEARCH(" ",B94)),FIND(" ",B94)-1,FIND("(",B94)-1))," ",MID(B94,IF(ISNUMBER(SEARCH("-",B94)),FIND("-",B94)-1),2),SUM(MID(B94,FIND("(",B94)+3,(FIND(":",B94)-(FIND("-",B94)+1))),MID(B94,FIND("/",B94)+1,(FIND(":",B94,FIND("/",B94))-FIND("/",B94)-1))),":",SUM(MID(B94,FIND(":",B94)+1,FIND("/",B94)-(FIND(":",B94)+1)),MID(B94,FIND(":",B94,FIND("/",B94))+1,FIND(")",B94)-FIND(":",B94,FIND("/",B94))-1))," ",MID(B94,(FIND(")",B94)+1),100)),CONCATENATE(MID(B94,1,IF(ISNUMBER(SEARCH(" ",B94)),FIND(" ",B94)-1,FIND("(",B94)-1))," ",MID(B94,IF(ISNUMBER(SEARCH("-",B94)),FIND("-",B94)-1),2),SUM(MID(B94,FIND("(",B94)+3,(FIND(":",B94)-(FIND("-",B94)+1))),MID(B94,FIND("_",B94)+1,(FIND(":",B94,FIND("_",B94))-FIND("_",B94)-1))),":",SUM(MID(B94,FIND(":",B94)+1,FIND("_",B94)-(FIND(":",B94)+1)),MID(B94,FIND(":",B94,FIND("_",B94))+1,FIND(")",B94)-FIND(":",B94,FIND("_",B94))-1))," ",MID(B94,(FIND(")",B94)+1),100))),B94),IF(ISNUMBER(SEARCH("(",B94)),IF(ISNUMBER(SEARCH("/",B94)),CONCATENATE(MID(B94,1,IF(ISNUMBER(SEARCH(" ",B94)),FIND(" ",B94)-1,FIND("(",B94)-1))," ",(SUM(MID(B94,FIND("(",B94)+1,FIND(":",B94)-FIND("(",B94)-1),MID(B94,FIND("/",B94)+1,FIND(":",B94,FIND("/",B94))-FIND("/",B94)-1))),":",SUM(MID(B94,FIND(":",B94)+1,FIND("/",B94)-FIND(":",B94)-1),MID(B94,FIND(":",B94,FIND("/",B94))+1,FIND(")",B94)-FIND(":",B94,FIND("/",B94))-1)),MID(B94,(FIND(")",B94)+1),100)),CONCATENATE(MID(B94,1,IF(ISNUMBER(SEARCH(" ",B94)),FIND(" ",B94)-1,FIND("(",B94)-1))," ",(SUM(MID(B94,FIND("(",B94)+1,FIND(":",B94)-FIND("(",B94)-1),MID(B94,FIND("_",B94)+1,FIND(":",B94,FIND("_",B94))-FIND("_",B94)-1))),":",SUM(MID(B94,FIND(":",B94)+1,FIND("_",B94)-FIND(":",B94)-1),MID(B94,FIND(":",B94,FIND("_",B94))+1,FIND(")",B94)-FIND(":",B94,FIND("_",B94))-1)),MID(B94,(FIND(")",B94)+1),100))),B94))</f>
        <v>PC O-32:1</v>
      </c>
      <c r="D94" s="29">
        <f>'Enter Values'!B94</f>
        <v>0.87429821928937901</v>
      </c>
      <c r="E94" s="29">
        <f>'Enter Values'!C94</f>
        <v>1.2071097367778501</v>
      </c>
      <c r="F94" s="29">
        <f>'Enter Values'!D94</f>
        <v>0.69780199503540896</v>
      </c>
    </row>
    <row r="95" spans="1:13" x14ac:dyDescent="0.2">
      <c r="A95" s="26" t="s">
        <v>429</v>
      </c>
      <c r="B95" s="28" t="str">
        <f>'Enter Values'!A95</f>
        <v>SM d36:0</v>
      </c>
      <c r="C95" s="26" t="str">
        <f>IF(ISNUMBER(SEARCH("(",B95)),IF(ISNUMBER(SEARCH("/",B95)),CONCATENATE(MID(B95,1,IF(ISNUMBER(SEARCH(" ",B95)),FIND(" ",B95)-1,FIND("(",B95)-1))," ","d",(SUM(MID(B95,FIND("(",B95)+2,FIND(":",B95)-FIND("(",B95)-2),MID(B95,FIND("/",B95)+1,FIND(":",B95,FIND("/",B95))-FIND("/",B95)-1))),":",SUM(MID(B95,FIND(":",B95)+1,FIND("/",B95)-FIND(":",B95)-1),MID(B95,FIND(":",B95,FIND("/",B95))+1,FIND(")",B95)-FIND(":",B95,FIND("/",B95))-1)),MID(B95,(FIND(")",B95)+1),100)),CONCATENATE(MID(B95,1,IF(ISNUMBER(SEARCH(" ",B95)),FIND(" ",B95)-1,FIND("(",B95)-1))," ","d",(SUM(MID(B95,FIND("(",B95)+2,FIND(":",B95)-FIND("(",B95)-2),MID(B95,FIND("_",B95)+1,FIND(":",B95,FIND("_",B95))-FIND("_",B95)-1))),":",SUM(MID(B95,FIND(":",B95)+1,FIND("_",B95)-FIND(":",B95)-1),MID(B95,FIND(":",B95,FIND("_",B95))+1,FIND(")",B95)-FIND(":",B95,FIND("_",B95))-1)),MID(B95,(FIND(")",B95)+1),100))),CONCATENATE(MID(B95,1,FIND(" ",B95)-1)," ","d",MID(B95,FIND("d",B95)+1,100)))</f>
        <v>SM d36:0</v>
      </c>
      <c r="D95" s="29">
        <f>'Enter Values'!B95</f>
        <v>0.98142000091203896</v>
      </c>
      <c r="E95" s="29">
        <f>'Enter Values'!C95</f>
        <v>0.96364918752186202</v>
      </c>
      <c r="F95" s="29">
        <f>'Enter Values'!D95</f>
        <v>0.92775397689092598</v>
      </c>
    </row>
    <row r="96" spans="1:13" x14ac:dyDescent="0.2">
      <c r="A96" s="26" t="s">
        <v>429</v>
      </c>
      <c r="B96" s="28" t="str">
        <f>'Enter Values'!A96</f>
        <v>SM d43:2</v>
      </c>
      <c r="C96" s="26" t="str">
        <f>IF(ISNUMBER(SEARCH("(",B96)),IF(ISNUMBER(SEARCH("/",B96)),CONCATENATE(MID(B96,1,IF(ISNUMBER(SEARCH(" ",B96)),FIND(" ",B96)-1,FIND("(",B96)-1))," ","d",(SUM(MID(B96,FIND("(",B96)+2,FIND(":",B96)-FIND("(",B96)-2),MID(B96,FIND("/",B96)+1,FIND(":",B96,FIND("/",B96))-FIND("/",B96)-1))),":",SUM(MID(B96,FIND(":",B96)+1,FIND("/",B96)-FIND(":",B96)-1),MID(B96,FIND(":",B96,FIND("/",B96))+1,FIND(")",B96)-FIND(":",B96,FIND("/",B96))-1)),MID(B96,(FIND(")",B96)+1),100)),CONCATENATE(MID(B96,1,IF(ISNUMBER(SEARCH(" ",B96)),FIND(" ",B96)-1,FIND("(",B96)-1))," ","d",(SUM(MID(B96,FIND("(",B96)+2,FIND(":",B96)-FIND("(",B96)-2),MID(B96,FIND("_",B96)+1,FIND(":",B96,FIND("_",B96))-FIND("_",B96)-1))),":",SUM(MID(B96,FIND(":",B96)+1,FIND("_",B96)-FIND(":",B96)-1),MID(B96,FIND(":",B96,FIND("_",B96))+1,FIND(")",B96)-FIND(":",B96,FIND("_",B96))-1)),MID(B96,(FIND(")",B96)+1),100))),CONCATENATE(MID(B96,1,FIND(" ",B96)-1)," ","d",MID(B96,FIND("d",B96)+1,100)))</f>
        <v>SM d43:2</v>
      </c>
      <c r="D96" s="29">
        <f>'Enter Values'!B96</f>
        <v>0.97459712223357797</v>
      </c>
      <c r="E96" s="29">
        <f>'Enter Values'!C96</f>
        <v>0.92763322415492699</v>
      </c>
      <c r="F96" s="29">
        <f>'Enter Values'!D96</f>
        <v>1.3081893952145001</v>
      </c>
    </row>
    <row r="97" spans="1:6" x14ac:dyDescent="0.2">
      <c r="A97" s="26" t="s">
        <v>428</v>
      </c>
      <c r="B97" s="28" t="str">
        <f>'Enter Values'!A97</f>
        <v>PE 36:3</v>
      </c>
      <c r="C97" s="26" t="str">
        <f>IF(ISNUMBER(SEARCH("-",B97)),IF(ISNUMBER(SEARCH("(",B97)),IF(ISNUMBER(SEARCH("/",B97)),CONCATENATE(MID(B97,1,IF(ISNUMBER(SEARCH(" ",B97)),FIND(" ",B97)-1,FIND("(",B97)-1))," ",MID(B97,IF(ISNUMBER(SEARCH("-",B97)),FIND("-",B97)-1),2),SUM(MID(B97,FIND("(",B97)+3,(FIND(":",B97)-(FIND("-",B97)+1))),MID(B97,FIND("/",B97)+1,(FIND(":",B97,FIND("/",B97))-FIND("/",B97)-1))),":",SUM(MID(B97,FIND(":",B97)+1,FIND("/",B97)-(FIND(":",B97)+1)),MID(B97,FIND(":",B97,FIND("/",B97))+1,FIND(")",B97)-FIND(":",B97,FIND("/",B97))-1))," ",MID(B97,(FIND(")",B97)+1),100)),CONCATENATE(MID(B97,1,IF(ISNUMBER(SEARCH(" ",B97)),FIND(" ",B97)-1,FIND("(",B97)-1))," ",MID(B97,IF(ISNUMBER(SEARCH("-",B97)),FIND("-",B97)-1),2),SUM(MID(B97,FIND("(",B97)+3,(FIND(":",B97)-(FIND("-",B97)+1))),MID(B97,FIND("_",B97)+1,(FIND(":",B97,FIND("_",B97))-FIND("_",B97)-1))),":",SUM(MID(B97,FIND(":",B97)+1,FIND("_",B97)-(FIND(":",B97)+1)),MID(B97,FIND(":",B97,FIND("_",B97))+1,FIND(")",B97)-FIND(":",B97,FIND("_",B97))-1))," ",MID(B97,(FIND(")",B97)+1),100))),B97),IF(ISNUMBER(SEARCH("(",B97)),IF(ISNUMBER(SEARCH("/",B97)),CONCATENATE(MID(B97,1,IF(ISNUMBER(SEARCH(" ",B97)),FIND(" ",B97)-1,FIND("(",B97)-1))," ",(SUM(MID(B97,FIND("(",B97)+1,FIND(":",B97)-FIND("(",B97)-1),MID(B97,FIND("/",B97)+1,FIND(":",B97,FIND("/",B97))-FIND("/",B97)-1))),":",SUM(MID(B97,FIND(":",B97)+1,FIND("/",B97)-FIND(":",B97)-1),MID(B97,FIND(":",B97,FIND("/",B97))+1,FIND(")",B97)-FIND(":",B97,FIND("/",B97))-1)),MID(B97,(FIND(")",B97)+1),100)),CONCATENATE(MID(B97,1,IF(ISNUMBER(SEARCH(" ",B97)),FIND(" ",B97)-1,FIND("(",B97)-1))," ",(SUM(MID(B97,FIND("(",B97)+1,FIND(":",B97)-FIND("(",B97)-1),MID(B97,FIND("_",B97)+1,FIND(":",B97,FIND("_",B97))-FIND("_",B97)-1))),":",SUM(MID(B97,FIND(":",B97)+1,FIND("_",B97)-FIND(":",B97)-1),MID(B97,FIND(":",B97,FIND("_",B97))+1,FIND(")",B97)-FIND(":",B97,FIND("_",B97))-1)),MID(B97,(FIND(")",B97)+1),100))),B97))</f>
        <v>PE 36:3</v>
      </c>
      <c r="D97" s="29">
        <f>'Enter Values'!B97</f>
        <v>0.41902742599151999</v>
      </c>
      <c r="E97" s="29">
        <f>'Enter Values'!C97</f>
        <v>0.42922820715031701</v>
      </c>
      <c r="F97" s="29">
        <f>'Enter Values'!D97</f>
        <v>0.310083473600473</v>
      </c>
    </row>
    <row r="98" spans="1:6" x14ac:dyDescent="0.2">
      <c r="A98" s="26" t="s">
        <v>441</v>
      </c>
      <c r="B98" s="28" t="str">
        <f>'Enter Values'!A98</f>
        <v>PI 38:6</v>
      </c>
      <c r="C98" s="26" t="str">
        <f>IF(ISNUMBER(SEARCH("-",B98)),IF(ISNUMBER(SEARCH("(",B98)),IF(ISNUMBER(SEARCH("/",B98)),CONCATENATE(MID(B98,1,IF(ISNUMBER(SEARCH(" ",B98)),FIND(" ",B98)-1,FIND("(",B98)-1))," ",MID(B98,IF(ISNUMBER(SEARCH("-",B98)),FIND("-",B98)-1),2),SUM(MID(B98,FIND("(",B98)+3,(FIND(":",B98)-(FIND("-",B98)+1))),MID(B98,FIND("/",B98)+1,(FIND(":",B98,FIND("/",B98))-FIND("/",B98)-1))),":",SUM(MID(B98,FIND(":",B98)+1,FIND("/",B98)-(FIND(":",B98)+1)),MID(B98,FIND(":",B98,FIND("/",B98))+1,FIND(")",B98)-FIND(":",B98,FIND("/",B98))-1))," ",MID(B98,(FIND(")",B98)+1),100)),CONCATENATE(MID(B98,1,IF(ISNUMBER(SEARCH(" ",B98)),FIND(" ",B98)-1,FIND("(",B98)-1))," ",MID(B98,IF(ISNUMBER(SEARCH("-",B98)),FIND("-",B98)-1),2),SUM(MID(B98,FIND("(",B98)+3,(FIND(":",B98)-(FIND("-",B98)+1))),MID(B98,FIND("_",B98)+1,(FIND(":",B98,FIND("_",B98))-FIND("_",B98)-1))),":",SUM(MID(B98,FIND(":",B98)+1,FIND("_",B98)-(FIND(":",B98)+1)),MID(B98,FIND(":",B98,FIND("_",B98))+1,FIND(")",B98)-FIND(":",B98,FIND("_",B98))-1))," ",MID(B98,(FIND(")",B98)+1),100))),B98),IF(ISNUMBER(SEARCH("(",B98)),IF(ISNUMBER(SEARCH("/",B98)),CONCATENATE(MID(B98,1,IF(ISNUMBER(SEARCH(" ",B98)),FIND(" ",B98)-1,FIND("(",B98)-1))," ",(SUM(MID(B98,FIND("(",B98)+1,FIND(":",B98)-FIND("(",B98)-1),MID(B98,FIND("/",B98)+1,FIND(":",B98,FIND("/",B98))-FIND("/",B98)-1))),":",SUM(MID(B98,FIND(":",B98)+1,FIND("/",B98)-FIND(":",B98)-1),MID(B98,FIND(":",B98,FIND("/",B98))+1,FIND(")",B98)-FIND(":",B98,FIND("/",B98))-1)),MID(B98,(FIND(")",B98)+1),100)),CONCATENATE(MID(B98,1,IF(ISNUMBER(SEARCH(" ",B98)),FIND(" ",B98)-1,FIND("(",B98)-1))," ",(SUM(MID(B98,FIND("(",B98)+1,FIND(":",B98)-FIND("(",B98)-1),MID(B98,FIND("_",B98)+1,FIND(":",B98,FIND("_",B98))-FIND("_",B98)-1))),":",SUM(MID(B98,FIND(":",B98)+1,FIND("_",B98)-FIND(":",B98)-1),MID(B98,FIND(":",B98,FIND("_",B98))+1,FIND(")",B98)-FIND(":",B98,FIND("_",B98))-1)),MID(B98,(FIND(")",B98)+1),100))),B98))</f>
        <v>PI 38:6</v>
      </c>
      <c r="D98" s="29">
        <f>'Enter Values'!B98</f>
        <v>0.87083535609491003</v>
      </c>
      <c r="E98" s="29">
        <f>'Enter Values'!C98</f>
        <v>0.79709132302220498</v>
      </c>
      <c r="F98" s="29">
        <f>'Enter Values'!D98</f>
        <v>0.66237400055389495</v>
      </c>
    </row>
    <row r="99" spans="1:6" x14ac:dyDescent="0.2">
      <c r="A99" s="26" t="s">
        <v>429</v>
      </c>
      <c r="B99" s="28" t="str">
        <f>'Enter Values'!A99</f>
        <v>SM d35:1</v>
      </c>
      <c r="C99" s="26" t="str">
        <f>IF(ISNUMBER(SEARCH("(",B99)),IF(ISNUMBER(SEARCH("/",B99)),CONCATENATE(MID(B99,1,IF(ISNUMBER(SEARCH(" ",B99)),FIND(" ",B99)-1,FIND("(",B99)-1))," ","d",(SUM(MID(B99,FIND("(",B99)+2,FIND(":",B99)-FIND("(",B99)-2),MID(B99,FIND("/",B99)+1,FIND(":",B99,FIND("/",B99))-FIND("/",B99)-1))),":",SUM(MID(B99,FIND(":",B99)+1,FIND("/",B99)-FIND(":",B99)-1),MID(B99,FIND(":",B99,FIND("/",B99))+1,FIND(")",B99)-FIND(":",B99,FIND("/",B99))-1)),MID(B99,(FIND(")",B99)+1),100)),CONCATENATE(MID(B99,1,IF(ISNUMBER(SEARCH(" ",B99)),FIND(" ",B99)-1,FIND("(",B99)-1))," ","d",(SUM(MID(B99,FIND("(",B99)+2,FIND(":",B99)-FIND("(",B99)-2),MID(B99,FIND("_",B99)+1,FIND(":",B99,FIND("_",B99))-FIND("_",B99)-1))),":",SUM(MID(B99,FIND(":",B99)+1,FIND("_",B99)-FIND(":",B99)-1),MID(B99,FIND(":",B99,FIND("_",B99))+1,FIND(")",B99)-FIND(":",B99,FIND("_",B99))-1)),MID(B99,(FIND(")",B99)+1),100))),CONCATENATE(MID(B99,1,FIND(" ",B99)-1)," ","d",MID(B99,FIND("d",B99)+1,100)))</f>
        <v>SM d35:1</v>
      </c>
      <c r="D99" s="29">
        <f>'Enter Values'!B99</f>
        <v>0.94051917948437802</v>
      </c>
      <c r="E99" s="29">
        <f>'Enter Values'!C99</f>
        <v>0.86190091264667501</v>
      </c>
      <c r="F99" s="29">
        <f>'Enter Values'!D99</f>
        <v>0.74897855478993602</v>
      </c>
    </row>
    <row r="100" spans="1:6" x14ac:dyDescent="0.2">
      <c r="A100" s="26" t="s">
        <v>428</v>
      </c>
      <c r="B100" s="28" t="str">
        <f>'Enter Values'!A100</f>
        <v>PE O-36:4</v>
      </c>
      <c r="C100" s="26" t="str">
        <f>IF(ISNUMBER(SEARCH("-",B100)),IF(ISNUMBER(SEARCH("(",B100)),IF(ISNUMBER(SEARCH("/",B100)),CONCATENATE(MID(B100,1,IF(ISNUMBER(SEARCH(" ",B100)),FIND(" ",B100)-1,FIND("(",B100)-1))," ",MID(B100,IF(ISNUMBER(SEARCH("-",B100)),FIND("-",B100)-1),2),SUM(MID(B100,FIND("(",B100)+3,(FIND(":",B100)-(FIND("-",B100)+1))),MID(B100,FIND("/",B100)+1,(FIND(":",B100,FIND("/",B100))-FIND("/",B100)-1))),":",SUM(MID(B100,FIND(":",B100)+1,FIND("/",B100)-(FIND(":",B100)+1)),MID(B100,FIND(":",B100,FIND("/",B100))+1,FIND(")",B100)-FIND(":",B100,FIND("/",B100))-1))," ",MID(B100,(FIND(")",B100)+1),100)),CONCATENATE(MID(B100,1,IF(ISNUMBER(SEARCH(" ",B100)),FIND(" ",B100)-1,FIND("(",B100)-1))," ",MID(B100,IF(ISNUMBER(SEARCH("-",B100)),FIND("-",B100)-1),2),SUM(MID(B100,FIND("(",B100)+3,(FIND(":",B100)-(FIND("-",B100)+1))),MID(B100,FIND("_",B100)+1,(FIND(":",B100,FIND("_",B100))-FIND("_",B100)-1))),":",SUM(MID(B100,FIND(":",B100)+1,FIND("_",B100)-(FIND(":",B100)+1)),MID(B100,FIND(":",B100,FIND("_",B100))+1,FIND(")",B100)-FIND(":",B100,FIND("_",B100))-1))," ",MID(B100,(FIND(")",B100)+1),100))),B100),IF(ISNUMBER(SEARCH("(",B100)),IF(ISNUMBER(SEARCH("/",B100)),CONCATENATE(MID(B100,1,IF(ISNUMBER(SEARCH(" ",B100)),FIND(" ",B100)-1,FIND("(",B100)-1))," ",(SUM(MID(B100,FIND("(",B100)+1,FIND(":",B100)-FIND("(",B100)-1),MID(B100,FIND("/",B100)+1,FIND(":",B100,FIND("/",B100))-FIND("/",B100)-1))),":",SUM(MID(B100,FIND(":",B100)+1,FIND("/",B100)-FIND(":",B100)-1),MID(B100,FIND(":",B100,FIND("/",B100))+1,FIND(")",B100)-FIND(":",B100,FIND("/",B100))-1)),MID(B100,(FIND(")",B100)+1),100)),CONCATENATE(MID(B100,1,IF(ISNUMBER(SEARCH(" ",B100)),FIND(" ",B100)-1,FIND("(",B100)-1))," ",(SUM(MID(B100,FIND("(",B100)+1,FIND(":",B100)-FIND("(",B100)-1),MID(B100,FIND("_",B100)+1,FIND(":",B100,FIND("_",B100))-FIND("_",B100)-1))),":",SUM(MID(B100,FIND(":",B100)+1,FIND("_",B100)-FIND(":",B100)-1),MID(B100,FIND(":",B100,FIND("_",B100))+1,FIND(")",B100)-FIND(":",B100,FIND("_",B100))-1)),MID(B100,(FIND(")",B100)+1),100))),B100))</f>
        <v>PE O-36:4</v>
      </c>
      <c r="D100" s="29">
        <f>'Enter Values'!B100</f>
        <v>0.39867890866985201</v>
      </c>
      <c r="E100" s="29">
        <f>'Enter Values'!C100</f>
        <v>0.445263313126816</v>
      </c>
      <c r="F100" s="29">
        <f>'Enter Values'!D100</f>
        <v>0.44668222622836001</v>
      </c>
    </row>
    <row r="101" spans="1:6" x14ac:dyDescent="0.2">
      <c r="A101" s="26" t="s">
        <v>428</v>
      </c>
      <c r="B101" s="28" t="str">
        <f>'Enter Values'!A101</f>
        <v>PE O-36:2</v>
      </c>
      <c r="C101" s="26" t="str">
        <f>IF(ISNUMBER(SEARCH("-",B101)),IF(ISNUMBER(SEARCH("(",B101)),IF(ISNUMBER(SEARCH("/",B101)),CONCATENATE(MID(B101,1,IF(ISNUMBER(SEARCH(" ",B101)),FIND(" ",B101)-1,FIND("(",B101)-1))," ",MID(B101,IF(ISNUMBER(SEARCH("-",B101)),FIND("-",B101)-1),2),SUM(MID(B101,FIND("(",B101)+3,(FIND(":",B101)-(FIND("-",B101)+1))),MID(B101,FIND("/",B101)+1,(FIND(":",B101,FIND("/",B101))-FIND("/",B101)-1))),":",SUM(MID(B101,FIND(":",B101)+1,FIND("/",B101)-(FIND(":",B101)+1)),MID(B101,FIND(":",B101,FIND("/",B101))+1,FIND(")",B101)-FIND(":",B101,FIND("/",B101))-1))," ",MID(B101,(FIND(")",B101)+1),100)),CONCATENATE(MID(B101,1,IF(ISNUMBER(SEARCH(" ",B101)),FIND(" ",B101)-1,FIND("(",B101)-1))," ",MID(B101,IF(ISNUMBER(SEARCH("-",B101)),FIND("-",B101)-1),2),SUM(MID(B101,FIND("(",B101)+3,(FIND(":",B101)-(FIND("-",B101)+1))),MID(B101,FIND("_",B101)+1,(FIND(":",B101,FIND("_",B101))-FIND("_",B101)-1))),":",SUM(MID(B101,FIND(":",B101)+1,FIND("_",B101)-(FIND(":",B101)+1)),MID(B101,FIND(":",B101,FIND("_",B101))+1,FIND(")",B101)-FIND(":",B101,FIND("_",B101))-1))," ",MID(B101,(FIND(")",B101)+1),100))),B101),IF(ISNUMBER(SEARCH("(",B101)),IF(ISNUMBER(SEARCH("/",B101)),CONCATENATE(MID(B101,1,IF(ISNUMBER(SEARCH(" ",B101)),FIND(" ",B101)-1,FIND("(",B101)-1))," ",(SUM(MID(B101,FIND("(",B101)+1,FIND(":",B101)-FIND("(",B101)-1),MID(B101,FIND("/",B101)+1,FIND(":",B101,FIND("/",B101))-FIND("/",B101)-1))),":",SUM(MID(B101,FIND(":",B101)+1,FIND("/",B101)-FIND(":",B101)-1),MID(B101,FIND(":",B101,FIND("/",B101))+1,FIND(")",B101)-FIND(":",B101,FIND("/",B101))-1)),MID(B101,(FIND(")",B101)+1),100)),CONCATENATE(MID(B101,1,IF(ISNUMBER(SEARCH(" ",B101)),FIND(" ",B101)-1,FIND("(",B101)-1))," ",(SUM(MID(B101,FIND("(",B101)+1,FIND(":",B101)-FIND("(",B101)-1),MID(B101,FIND("_",B101)+1,FIND(":",B101,FIND("_",B101))-FIND("_",B101)-1))),":",SUM(MID(B101,FIND(":",B101)+1,FIND("_",B101)-FIND(":",B101)-1),MID(B101,FIND(":",B101,FIND("_",B101))+1,FIND(")",B101)-FIND(":",B101,FIND("_",B101))-1)),MID(B101,(FIND(")",B101)+1),100))),B101))</f>
        <v>PE O-36:2</v>
      </c>
      <c r="D101" s="29">
        <f>'Enter Values'!B101</f>
        <v>0.38303253405919102</v>
      </c>
      <c r="E101" s="29">
        <f>'Enter Values'!C101</f>
        <v>0.390265161055107</v>
      </c>
      <c r="F101" s="29">
        <f>'Enter Values'!D101</f>
        <v>0.382010537607614</v>
      </c>
    </row>
    <row r="102" spans="1:6" x14ac:dyDescent="0.2">
      <c r="A102" s="26" t="s">
        <v>428</v>
      </c>
      <c r="B102" s="28" t="str">
        <f>'Enter Values'!A102</f>
        <v>PE 34:1</v>
      </c>
      <c r="C102" s="26" t="str">
        <f>IF(ISNUMBER(SEARCH("-",B102)),IF(ISNUMBER(SEARCH("(",B102)),IF(ISNUMBER(SEARCH("/",B102)),CONCATENATE(MID(B102,1,IF(ISNUMBER(SEARCH(" ",B102)),FIND(" ",B102)-1,FIND("(",B102)-1))," ",MID(B102,IF(ISNUMBER(SEARCH("-",B102)),FIND("-",B102)-1),2),SUM(MID(B102,FIND("(",B102)+3,(FIND(":",B102)-(FIND("-",B102)+1))),MID(B102,FIND("/",B102)+1,(FIND(":",B102,FIND("/",B102))-FIND("/",B102)-1))),":",SUM(MID(B102,FIND(":",B102)+1,FIND("/",B102)-(FIND(":",B102)+1)),MID(B102,FIND(":",B102,FIND("/",B102))+1,FIND(")",B102)-FIND(":",B102,FIND("/",B102))-1))," ",MID(B102,(FIND(")",B102)+1),100)),CONCATENATE(MID(B102,1,IF(ISNUMBER(SEARCH(" ",B102)),FIND(" ",B102)-1,FIND("(",B102)-1))," ",MID(B102,IF(ISNUMBER(SEARCH("-",B102)),FIND("-",B102)-1),2),SUM(MID(B102,FIND("(",B102)+3,(FIND(":",B102)-(FIND("-",B102)+1))),MID(B102,FIND("_",B102)+1,(FIND(":",B102,FIND("_",B102))-FIND("_",B102)-1))),":",SUM(MID(B102,FIND(":",B102)+1,FIND("_",B102)-(FIND(":",B102)+1)),MID(B102,FIND(":",B102,FIND("_",B102))+1,FIND(")",B102)-FIND(":",B102,FIND("_",B102))-1))," ",MID(B102,(FIND(")",B102)+1),100))),B102),IF(ISNUMBER(SEARCH("(",B102)),IF(ISNUMBER(SEARCH("/",B102)),CONCATENATE(MID(B102,1,IF(ISNUMBER(SEARCH(" ",B102)),FIND(" ",B102)-1,FIND("(",B102)-1))," ",(SUM(MID(B102,FIND("(",B102)+1,FIND(":",B102)-FIND("(",B102)-1),MID(B102,FIND("/",B102)+1,FIND(":",B102,FIND("/",B102))-FIND("/",B102)-1))),":",SUM(MID(B102,FIND(":",B102)+1,FIND("/",B102)-FIND(":",B102)-1),MID(B102,FIND(":",B102,FIND("/",B102))+1,FIND(")",B102)-FIND(":",B102,FIND("/",B102))-1)),MID(B102,(FIND(")",B102)+1),100)),CONCATENATE(MID(B102,1,IF(ISNUMBER(SEARCH(" ",B102)),FIND(" ",B102)-1,FIND("(",B102)-1))," ",(SUM(MID(B102,FIND("(",B102)+1,FIND(":",B102)-FIND("(",B102)-1),MID(B102,FIND("_",B102)+1,FIND(":",B102,FIND("_",B102))-FIND("_",B102)-1))),":",SUM(MID(B102,FIND(":",B102)+1,FIND("_",B102)-FIND(":",B102)-1),MID(B102,FIND(":",B102,FIND("_",B102))+1,FIND(")",B102)-FIND(":",B102,FIND("_",B102))-1)),MID(B102,(FIND(")",B102)+1),100))),B102))</f>
        <v>PE 34:1</v>
      </c>
      <c r="D102" s="29">
        <f>'Enter Values'!B102</f>
        <v>0.37455188108987703</v>
      </c>
      <c r="E102" s="29">
        <f>'Enter Values'!C102</f>
        <v>0.37008097325056999</v>
      </c>
      <c r="F102" s="29">
        <f>'Enter Values'!D102</f>
        <v>0.38346602155825799</v>
      </c>
    </row>
    <row r="103" spans="1:6" x14ac:dyDescent="0.2">
      <c r="A103" s="26" t="s">
        <v>427</v>
      </c>
      <c r="B103" s="28" t="str">
        <f>'Enter Values'!A103</f>
        <v>PC P-33:1</v>
      </c>
      <c r="C103" s="26" t="str">
        <f>IF(ISNUMBER(SEARCH("-",B103)),IF(ISNUMBER(SEARCH("(",B103)),IF(ISNUMBER(SEARCH("/",B103)),CONCATENATE(MID(B103,1,IF(ISNUMBER(SEARCH(" ",B103)),FIND(" ",B103)-1,FIND("(",B103)-1))," ",MID(B103,IF(ISNUMBER(SEARCH("-",B103)),FIND("-",B103)-1),2),SUM(MID(B103,FIND("(",B103)+3,(FIND(":",B103)-(FIND("-",B103)+1))),MID(B103,FIND("/",B103)+1,(FIND(":",B103,FIND("/",B103))-FIND("/",B103)-1))),":",SUM(MID(B103,FIND(":",B103)+1,FIND("/",B103)-(FIND(":",B103)+1)),MID(B103,FIND(":",B103,FIND("/",B103))+1,FIND(")",B103)-FIND(":",B103,FIND("/",B103))-1))," ",MID(B103,(FIND(")",B103)+1),100)),CONCATENATE(MID(B103,1,IF(ISNUMBER(SEARCH(" ",B103)),FIND(" ",B103)-1,FIND("(",B103)-1))," ",MID(B103,IF(ISNUMBER(SEARCH("-",B103)),FIND("-",B103)-1),2),SUM(MID(B103,FIND("(",B103)+3,(FIND(":",B103)-(FIND("-",B103)+1))),MID(B103,FIND("_",B103)+1,(FIND(":",B103,FIND("_",B103))-FIND("_",B103)-1))),":",SUM(MID(B103,FIND(":",B103)+1,FIND("_",B103)-(FIND(":",B103)+1)),MID(B103,FIND(":",B103,FIND("_",B103))+1,FIND(")",B103)-FIND(":",B103,FIND("_",B103))-1))," ",MID(B103,(FIND(")",B103)+1),100))),B103),IF(ISNUMBER(SEARCH("(",B103)),IF(ISNUMBER(SEARCH("/",B103)),CONCATENATE(MID(B103,1,IF(ISNUMBER(SEARCH(" ",B103)),FIND(" ",B103)-1,FIND("(",B103)-1))," ",(SUM(MID(B103,FIND("(",B103)+1,FIND(":",B103)-FIND("(",B103)-1),MID(B103,FIND("/",B103)+1,FIND(":",B103,FIND("/",B103))-FIND("/",B103)-1))),":",SUM(MID(B103,FIND(":",B103)+1,FIND("/",B103)-FIND(":",B103)-1),MID(B103,FIND(":",B103,FIND("/",B103))+1,FIND(")",B103)-FIND(":",B103,FIND("/",B103))-1)),MID(B103,(FIND(")",B103)+1),100)),CONCATENATE(MID(B103,1,IF(ISNUMBER(SEARCH(" ",B103)),FIND(" ",B103)-1,FIND("(",B103)-1))," ",(SUM(MID(B103,FIND("(",B103)+1,FIND(":",B103)-FIND("(",B103)-1),MID(B103,FIND("_",B103)+1,FIND(":",B103,FIND("_",B103))-FIND("_",B103)-1))),":",SUM(MID(B103,FIND(":",B103)+1,FIND("_",B103)-FIND(":",B103)-1),MID(B103,FIND(":",B103,FIND("_",B103))+1,FIND(")",B103)-FIND(":",B103,FIND("_",B103))-1)),MID(B103,(FIND(")",B103)+1),100))),B103))</f>
        <v>PC P-33:1</v>
      </c>
      <c r="D103" s="29">
        <f>'Enter Values'!B103</f>
        <v>0.72247072661501699</v>
      </c>
      <c r="E103" s="29">
        <f>'Enter Values'!C103</f>
        <v>0.85652757662594603</v>
      </c>
      <c r="F103" s="29">
        <f>'Enter Values'!D103</f>
        <v>0.51557527267412795</v>
      </c>
    </row>
    <row r="104" spans="1:6" x14ac:dyDescent="0.2">
      <c r="A104" s="26" t="s">
        <v>428</v>
      </c>
      <c r="B104" s="28" t="str">
        <f>'Enter Values'!A104</f>
        <v>PE 38:5</v>
      </c>
      <c r="C104" s="26" t="str">
        <f>IF(ISNUMBER(SEARCH("-",B104)),IF(ISNUMBER(SEARCH("(",B104)),IF(ISNUMBER(SEARCH("/",B104)),CONCATENATE(MID(B104,1,IF(ISNUMBER(SEARCH(" ",B104)),FIND(" ",B104)-1,FIND("(",B104)-1))," ",MID(B104,IF(ISNUMBER(SEARCH("-",B104)),FIND("-",B104)-1),2),SUM(MID(B104,FIND("(",B104)+3,(FIND(":",B104)-(FIND("-",B104)+1))),MID(B104,FIND("/",B104)+1,(FIND(":",B104,FIND("/",B104))-FIND("/",B104)-1))),":",SUM(MID(B104,FIND(":",B104)+1,FIND("/",B104)-(FIND(":",B104)+1)),MID(B104,FIND(":",B104,FIND("/",B104))+1,FIND(")",B104)-FIND(":",B104,FIND("/",B104))-1))," ",MID(B104,(FIND(")",B104)+1),100)),CONCATENATE(MID(B104,1,IF(ISNUMBER(SEARCH(" ",B104)),FIND(" ",B104)-1,FIND("(",B104)-1))," ",MID(B104,IF(ISNUMBER(SEARCH("-",B104)),FIND("-",B104)-1),2),SUM(MID(B104,FIND("(",B104)+3,(FIND(":",B104)-(FIND("-",B104)+1))),MID(B104,FIND("_",B104)+1,(FIND(":",B104,FIND("_",B104))-FIND("_",B104)-1))),":",SUM(MID(B104,FIND(":",B104)+1,FIND("_",B104)-(FIND(":",B104)+1)),MID(B104,FIND(":",B104,FIND("_",B104))+1,FIND(")",B104)-FIND(":",B104,FIND("_",B104))-1))," ",MID(B104,(FIND(")",B104)+1),100))),B104),IF(ISNUMBER(SEARCH("(",B104)),IF(ISNUMBER(SEARCH("/",B104)),CONCATENATE(MID(B104,1,IF(ISNUMBER(SEARCH(" ",B104)),FIND(" ",B104)-1,FIND("(",B104)-1))," ",(SUM(MID(B104,FIND("(",B104)+1,FIND(":",B104)-FIND("(",B104)-1),MID(B104,FIND("/",B104)+1,FIND(":",B104,FIND("/",B104))-FIND("/",B104)-1))),":",SUM(MID(B104,FIND(":",B104)+1,FIND("/",B104)-FIND(":",B104)-1),MID(B104,FIND(":",B104,FIND("/",B104))+1,FIND(")",B104)-FIND(":",B104,FIND("/",B104))-1)),MID(B104,(FIND(")",B104)+1),100)),CONCATENATE(MID(B104,1,IF(ISNUMBER(SEARCH(" ",B104)),FIND(" ",B104)-1,FIND("(",B104)-1))," ",(SUM(MID(B104,FIND("(",B104)+1,FIND(":",B104)-FIND("(",B104)-1),MID(B104,FIND("_",B104)+1,FIND(":",B104,FIND("_",B104))-FIND("_",B104)-1))),":",SUM(MID(B104,FIND(":",B104)+1,FIND("_",B104)-FIND(":",B104)-1),MID(B104,FIND(":",B104,FIND("_",B104))+1,FIND(")",B104)-FIND(":",B104,FIND("_",B104))-1)),MID(B104,(FIND(")",B104)+1),100))),B104))</f>
        <v>PE 38:5</v>
      </c>
      <c r="D104" s="29">
        <f>'Enter Values'!B104</f>
        <v>0.36353818388178499</v>
      </c>
      <c r="E104" s="29">
        <f>'Enter Values'!C104</f>
        <v>0.384660289163546</v>
      </c>
      <c r="F104" s="29">
        <f>'Enter Values'!D104</f>
        <v>0.39876842444548</v>
      </c>
    </row>
    <row r="105" spans="1:6" x14ac:dyDescent="0.2">
      <c r="A105" s="26" t="s">
        <v>428</v>
      </c>
      <c r="B105" s="28" t="str">
        <f>'Enter Values'!A105</f>
        <v>PE O-34:2</v>
      </c>
      <c r="C105" s="26" t="str">
        <f>IF(ISNUMBER(SEARCH("-",B105)),IF(ISNUMBER(SEARCH("(",B105)),IF(ISNUMBER(SEARCH("/",B105)),CONCATENATE(MID(B105,1,IF(ISNUMBER(SEARCH(" ",B105)),FIND(" ",B105)-1,FIND("(",B105)-1))," ",MID(B105,IF(ISNUMBER(SEARCH("-",B105)),FIND("-",B105)-1),2),SUM(MID(B105,FIND("(",B105)+3,(FIND(":",B105)-(FIND("-",B105)+1))),MID(B105,FIND("/",B105)+1,(FIND(":",B105,FIND("/",B105))-FIND("/",B105)-1))),":",SUM(MID(B105,FIND(":",B105)+1,FIND("/",B105)-(FIND(":",B105)+1)),MID(B105,FIND(":",B105,FIND("/",B105))+1,FIND(")",B105)-FIND(":",B105,FIND("/",B105))-1))," ",MID(B105,(FIND(")",B105)+1),100)),CONCATENATE(MID(B105,1,IF(ISNUMBER(SEARCH(" ",B105)),FIND(" ",B105)-1,FIND("(",B105)-1))," ",MID(B105,IF(ISNUMBER(SEARCH("-",B105)),FIND("-",B105)-1),2),SUM(MID(B105,FIND("(",B105)+3,(FIND(":",B105)-(FIND("-",B105)+1))),MID(B105,FIND("_",B105)+1,(FIND(":",B105,FIND("_",B105))-FIND("_",B105)-1))),":",SUM(MID(B105,FIND(":",B105)+1,FIND("_",B105)-(FIND(":",B105)+1)),MID(B105,FIND(":",B105,FIND("_",B105))+1,FIND(")",B105)-FIND(":",B105,FIND("_",B105))-1))," ",MID(B105,(FIND(")",B105)+1),100))),B105),IF(ISNUMBER(SEARCH("(",B105)),IF(ISNUMBER(SEARCH("/",B105)),CONCATENATE(MID(B105,1,IF(ISNUMBER(SEARCH(" ",B105)),FIND(" ",B105)-1,FIND("(",B105)-1))," ",(SUM(MID(B105,FIND("(",B105)+1,FIND(":",B105)-FIND("(",B105)-1),MID(B105,FIND("/",B105)+1,FIND(":",B105,FIND("/",B105))-FIND("/",B105)-1))),":",SUM(MID(B105,FIND(":",B105)+1,FIND("/",B105)-FIND(":",B105)-1),MID(B105,FIND(":",B105,FIND("/",B105))+1,FIND(")",B105)-FIND(":",B105,FIND("/",B105))-1)),MID(B105,(FIND(")",B105)+1),100)),CONCATENATE(MID(B105,1,IF(ISNUMBER(SEARCH(" ",B105)),FIND(" ",B105)-1,FIND("(",B105)-1))," ",(SUM(MID(B105,FIND("(",B105)+1,FIND(":",B105)-FIND("(",B105)-1),MID(B105,FIND("_",B105)+1,FIND(":",B105,FIND("_",B105))-FIND("_",B105)-1))),":",SUM(MID(B105,FIND(":",B105)+1,FIND("_",B105)-FIND(":",B105)-1),MID(B105,FIND(":",B105,FIND("_",B105))+1,FIND(")",B105)-FIND(":",B105,FIND("_",B105))-1)),MID(B105,(FIND(")",B105)+1),100))),B105))</f>
        <v>PE O-34:2</v>
      </c>
      <c r="D105" s="29">
        <f>'Enter Values'!B105</f>
        <v>0.34273594648802203</v>
      </c>
      <c r="E105" s="29">
        <f>'Enter Values'!C105</f>
        <v>0.37231685007066001</v>
      </c>
      <c r="F105" s="29">
        <f>'Enter Values'!D105</f>
        <v>0.35177560790395002</v>
      </c>
    </row>
    <row r="106" spans="1:6" x14ac:dyDescent="0.2">
      <c r="A106" s="26" t="s">
        <v>427</v>
      </c>
      <c r="B106" s="28" t="str">
        <f>'Enter Values'!A106</f>
        <v>PC O-38:3</v>
      </c>
      <c r="C106" s="26" t="str">
        <f>IF(ISNUMBER(SEARCH("-",B106)),IF(ISNUMBER(SEARCH("(",B106)),IF(ISNUMBER(SEARCH("/",B106)),CONCATENATE(MID(B106,1,IF(ISNUMBER(SEARCH(" ",B106)),FIND(" ",B106)-1,FIND("(",B106)-1))," ",MID(B106,IF(ISNUMBER(SEARCH("-",B106)),FIND("-",B106)-1),2),SUM(MID(B106,FIND("(",B106)+3,(FIND(":",B106)-(FIND("-",B106)+1))),MID(B106,FIND("/",B106)+1,(FIND(":",B106,FIND("/",B106))-FIND("/",B106)-1))),":",SUM(MID(B106,FIND(":",B106)+1,FIND("/",B106)-(FIND(":",B106)+1)),MID(B106,FIND(":",B106,FIND("/",B106))+1,FIND(")",B106)-FIND(":",B106,FIND("/",B106))-1))," ",MID(B106,(FIND(")",B106)+1),100)),CONCATENATE(MID(B106,1,IF(ISNUMBER(SEARCH(" ",B106)),FIND(" ",B106)-1,FIND("(",B106)-1))," ",MID(B106,IF(ISNUMBER(SEARCH("-",B106)),FIND("-",B106)-1),2),SUM(MID(B106,FIND("(",B106)+3,(FIND(":",B106)-(FIND("-",B106)+1))),MID(B106,FIND("_",B106)+1,(FIND(":",B106,FIND("_",B106))-FIND("_",B106)-1))),":",SUM(MID(B106,FIND(":",B106)+1,FIND("_",B106)-(FIND(":",B106)+1)),MID(B106,FIND(":",B106,FIND("_",B106))+1,FIND(")",B106)-FIND(":",B106,FIND("_",B106))-1))," ",MID(B106,(FIND(")",B106)+1),100))),B106),IF(ISNUMBER(SEARCH("(",B106)),IF(ISNUMBER(SEARCH("/",B106)),CONCATENATE(MID(B106,1,IF(ISNUMBER(SEARCH(" ",B106)),FIND(" ",B106)-1,FIND("(",B106)-1))," ",(SUM(MID(B106,FIND("(",B106)+1,FIND(":",B106)-FIND("(",B106)-1),MID(B106,FIND("/",B106)+1,FIND(":",B106,FIND("/",B106))-FIND("/",B106)-1))),":",SUM(MID(B106,FIND(":",B106)+1,FIND("/",B106)-FIND(":",B106)-1),MID(B106,FIND(":",B106,FIND("/",B106))+1,FIND(")",B106)-FIND(":",B106,FIND("/",B106))-1)),MID(B106,(FIND(")",B106)+1),100)),CONCATENATE(MID(B106,1,IF(ISNUMBER(SEARCH(" ",B106)),FIND(" ",B106)-1,FIND("(",B106)-1))," ",(SUM(MID(B106,FIND("(",B106)+1,FIND(":",B106)-FIND("(",B106)-1),MID(B106,FIND("_",B106)+1,FIND(":",B106,FIND("_",B106))-FIND("_",B106)-1))),":",SUM(MID(B106,FIND(":",B106)+1,FIND("_",B106)-FIND(":",B106)-1),MID(B106,FIND(":",B106,FIND("_",B106))+1,FIND(")",B106)-FIND(":",B106,FIND("_",B106))-1)),MID(B106,(FIND(")",B106)+1),100))),B106))</f>
        <v>PC O-38:3</v>
      </c>
      <c r="D106" s="29">
        <f>'Enter Values'!B106</f>
        <v>0.646617130692133</v>
      </c>
      <c r="E106" s="29">
        <f>'Enter Values'!C106</f>
        <v>0.96705476028075799</v>
      </c>
      <c r="F106" s="29">
        <f>'Enter Values'!D106</f>
        <v>0.63689581630124603</v>
      </c>
    </row>
    <row r="107" spans="1:6" x14ac:dyDescent="0.2">
      <c r="A107" s="26" t="s">
        <v>425</v>
      </c>
      <c r="B107" s="28" t="str">
        <f>'Enter Values'!A107</f>
        <v>LPC 16:1</v>
      </c>
      <c r="C107" s="26" t="str">
        <f>IF(ISNUMBER(SEARCH("-",B107)),IF(ISNUMBER(SEARCH("(",B107)),IF(ISNUMBER(SEARCH("/",B107)),CONCATENATE(MID(B107,1,IF(ISNUMBER(SEARCH(" ",B107)),FIND(" ",B107)-1,FIND("(",B107)-1))," ",MID(B107,IF(ISNUMBER(SEARCH("-",B107)),FIND("-",B107)-1),2),SUM(MID(B107,FIND("(",B107)+3,(FIND(":",B107)-(FIND("-",B107)+1))),MID(B107,FIND("/",B107)+1,(FIND(":",B107,FIND("/",B107))-FIND("/",B107)-1))),":",SUM(MID(B107,FIND(":",B107)+1,FIND("/",B107)-(FIND(":",B107)+1)),MID(B107,FIND(":",B107,FIND("/",B107))+1,FIND(")",B107)-FIND(":",B107,FIND("/",B107))-1))," ",MID(B107,(FIND(")",B107)+1),100)),CONCATENATE(MID(B107,1,IF(ISNUMBER(SEARCH(" ",B107)),FIND(" ",B107)-1,FIND("(",B107)-1))," ",MID(B107,IF(ISNUMBER(SEARCH("-",B107)),FIND("-",B107)-1),2),SUM(MID(B107,FIND("(",B107)+3,(FIND(":",B107)-(FIND("-",B107)+1))),MID(B107,FIND("_",B107)+1,(FIND(":",B107,FIND("_",B107))-FIND("_",B107)-1))),":",SUM(MID(B107,FIND(":",B107)+1,FIND("_",B107)-(FIND(":",B107)+1)),MID(B107,FIND(":",B107,FIND("_",B107))+1,FIND(")",B107)-FIND(":",B107,FIND("_",B107))-1))," ",MID(B107,(FIND(")",B107)+1),100))),B107),IF(ISNUMBER(SEARCH("(",B107)),IF(ISNUMBER(SEARCH("/",B107)),CONCATENATE(MID(B107,1,IF(ISNUMBER(SEARCH(" ",B107)),FIND(" ",B107)-1,FIND("(",B107)-1))," ",(SUM(MID(B107,FIND("(",B107)+1,FIND(":",B107)-FIND("(",B107)-1),MID(B107,FIND("/",B107)+1,FIND(":",B107,FIND("/",B107))-FIND("/",B107)-1))),":",SUM(MID(B107,FIND(":",B107)+1,FIND("/",B107)-FIND(":",B107)-1),MID(B107,FIND(":",B107,FIND("/",B107))+1,FIND(")",B107)-FIND(":",B107,FIND("/",B107))-1)),MID(B107,(FIND(")",B107)+1),100)),CONCATENATE(MID(B107,1,IF(ISNUMBER(SEARCH(" ",B107)),FIND(" ",B107)-1,FIND("(",B107)-1))," ",(SUM(MID(B107,FIND("(",B107)+1,FIND(":",B107)-FIND("(",B107)-1),MID(B107,FIND("_",B107)+1,FIND(":",B107,FIND("_",B107))-FIND("_",B107)-1))),":",SUM(MID(B107,FIND(":",B107)+1,FIND("_",B107)-FIND(":",B107)-1),MID(B107,FIND(":",B107,FIND("_",B107))+1,FIND(")",B107)-FIND(":",B107,FIND("_",B107))-1)),MID(B107,(FIND(")",B107)+1),100))),B107))</f>
        <v>LPC 16:1</v>
      </c>
      <c r="D107" s="29">
        <f>'Enter Values'!B107</f>
        <v>1.2896831340370001</v>
      </c>
      <c r="E107" s="29">
        <f>'Enter Values'!C107</f>
        <v>1.2913599268862701</v>
      </c>
      <c r="F107" s="29">
        <f>'Enter Values'!D107</f>
        <v>1.35261184832897</v>
      </c>
    </row>
    <row r="108" spans="1:6" x14ac:dyDescent="0.2">
      <c r="A108" s="26" t="s">
        <v>427</v>
      </c>
      <c r="B108" s="28" t="str">
        <f>'Enter Values'!A108</f>
        <v>PC 40:8</v>
      </c>
      <c r="C108" s="26" t="str">
        <f>IF(ISNUMBER(SEARCH("-",B108)),IF(ISNUMBER(SEARCH("(",B108)),IF(ISNUMBER(SEARCH("/",B108)),CONCATENATE(MID(B108,1,IF(ISNUMBER(SEARCH(" ",B108)),FIND(" ",B108)-1,FIND("(",B108)-1))," ",MID(B108,IF(ISNUMBER(SEARCH("-",B108)),FIND("-",B108)-1),2),SUM(MID(B108,FIND("(",B108)+3,(FIND(":",B108)-(FIND("-",B108)+1))),MID(B108,FIND("/",B108)+1,(FIND(":",B108,FIND("/",B108))-FIND("/",B108)-1))),":",SUM(MID(B108,FIND(":",B108)+1,FIND("/",B108)-(FIND(":",B108)+1)),MID(B108,FIND(":",B108,FIND("/",B108))+1,FIND(")",B108)-FIND(":",B108,FIND("/",B108))-1))," ",MID(B108,(FIND(")",B108)+1),100)),CONCATENATE(MID(B108,1,IF(ISNUMBER(SEARCH(" ",B108)),FIND(" ",B108)-1,FIND("(",B108)-1))," ",MID(B108,IF(ISNUMBER(SEARCH("-",B108)),FIND("-",B108)-1),2),SUM(MID(B108,FIND("(",B108)+3,(FIND(":",B108)-(FIND("-",B108)+1))),MID(B108,FIND("_",B108)+1,(FIND(":",B108,FIND("_",B108))-FIND("_",B108)-1))),":",SUM(MID(B108,FIND(":",B108)+1,FIND("_",B108)-(FIND(":",B108)+1)),MID(B108,FIND(":",B108,FIND("_",B108))+1,FIND(")",B108)-FIND(":",B108,FIND("_",B108))-1))," ",MID(B108,(FIND(")",B108)+1),100))),B108),IF(ISNUMBER(SEARCH("(",B108)),IF(ISNUMBER(SEARCH("/",B108)),CONCATENATE(MID(B108,1,IF(ISNUMBER(SEARCH(" ",B108)),FIND(" ",B108)-1,FIND("(",B108)-1))," ",(SUM(MID(B108,FIND("(",B108)+1,FIND(":",B108)-FIND("(",B108)-1),MID(B108,FIND("/",B108)+1,FIND(":",B108,FIND("/",B108))-FIND("/",B108)-1))),":",SUM(MID(B108,FIND(":",B108)+1,FIND("/",B108)-FIND(":",B108)-1),MID(B108,FIND(":",B108,FIND("/",B108))+1,FIND(")",B108)-FIND(":",B108,FIND("/",B108))-1)),MID(B108,(FIND(")",B108)+1),100)),CONCATENATE(MID(B108,1,IF(ISNUMBER(SEARCH(" ",B108)),FIND(" ",B108)-1,FIND("(",B108)-1))," ",(SUM(MID(B108,FIND("(",B108)+1,FIND(":",B108)-FIND("(",B108)-1),MID(B108,FIND("_",B108)+1,FIND(":",B108,FIND("_",B108))-FIND("_",B108)-1))),":",SUM(MID(B108,FIND(":",B108)+1,FIND("_",B108)-FIND(":",B108)-1),MID(B108,FIND(":",B108,FIND("_",B108))+1,FIND(")",B108)-FIND(":",B108,FIND("_",B108))-1)),MID(B108,(FIND(")",B108)+1),100))),B108))</f>
        <v>PC 40:8</v>
      </c>
      <c r="D108" s="29">
        <f>'Enter Values'!B108</f>
        <v>0.60466205447023103</v>
      </c>
      <c r="E108" s="29">
        <f>'Enter Values'!C108</f>
        <v>0.72173200958147998</v>
      </c>
      <c r="F108" s="29">
        <f>'Enter Values'!D108</f>
        <v>0.49223333093462202</v>
      </c>
    </row>
    <row r="109" spans="1:6" x14ac:dyDescent="0.2">
      <c r="A109" s="26" t="s">
        <v>427</v>
      </c>
      <c r="B109" s="28" t="str">
        <f>'Enter Values'!A109</f>
        <v>PC O-40:7</v>
      </c>
      <c r="C109" s="26" t="str">
        <f>IF(ISNUMBER(SEARCH("-",B109)),IF(ISNUMBER(SEARCH("(",B109)),IF(ISNUMBER(SEARCH("/",B109)),CONCATENATE(MID(B109,1,IF(ISNUMBER(SEARCH(" ",B109)),FIND(" ",B109)-1,FIND("(",B109)-1))," ",MID(B109,IF(ISNUMBER(SEARCH("-",B109)),FIND("-",B109)-1),2),SUM(MID(B109,FIND("(",B109)+3,(FIND(":",B109)-(FIND("-",B109)+1))),MID(B109,FIND("/",B109)+1,(FIND(":",B109,FIND("/",B109))-FIND("/",B109)-1))),":",SUM(MID(B109,FIND(":",B109)+1,FIND("/",B109)-(FIND(":",B109)+1)),MID(B109,FIND(":",B109,FIND("/",B109))+1,FIND(")",B109)-FIND(":",B109,FIND("/",B109))-1))," ",MID(B109,(FIND(")",B109)+1),100)),CONCATENATE(MID(B109,1,IF(ISNUMBER(SEARCH(" ",B109)),FIND(" ",B109)-1,FIND("(",B109)-1))," ",MID(B109,IF(ISNUMBER(SEARCH("-",B109)),FIND("-",B109)-1),2),SUM(MID(B109,FIND("(",B109)+3,(FIND(":",B109)-(FIND("-",B109)+1))),MID(B109,FIND("_",B109)+1,(FIND(":",B109,FIND("_",B109))-FIND("_",B109)-1))),":",SUM(MID(B109,FIND(":",B109)+1,FIND("_",B109)-(FIND(":",B109)+1)),MID(B109,FIND(":",B109,FIND("_",B109))+1,FIND(")",B109)-FIND(":",B109,FIND("_",B109))-1))," ",MID(B109,(FIND(")",B109)+1),100))),B109),IF(ISNUMBER(SEARCH("(",B109)),IF(ISNUMBER(SEARCH("/",B109)),CONCATENATE(MID(B109,1,IF(ISNUMBER(SEARCH(" ",B109)),FIND(" ",B109)-1,FIND("(",B109)-1))," ",(SUM(MID(B109,FIND("(",B109)+1,FIND(":",B109)-FIND("(",B109)-1),MID(B109,FIND("/",B109)+1,FIND(":",B109,FIND("/",B109))-FIND("/",B109)-1))),":",SUM(MID(B109,FIND(":",B109)+1,FIND("/",B109)-FIND(":",B109)-1),MID(B109,FIND(":",B109,FIND("/",B109))+1,FIND(")",B109)-FIND(":",B109,FIND("/",B109))-1)),MID(B109,(FIND(")",B109)+1),100)),CONCATENATE(MID(B109,1,IF(ISNUMBER(SEARCH(" ",B109)),FIND(" ",B109)-1,FIND("(",B109)-1))," ",(SUM(MID(B109,FIND("(",B109)+1,FIND(":",B109)-FIND("(",B109)-1),MID(B109,FIND("_",B109)+1,FIND(":",B109,FIND("_",B109))-FIND("_",B109)-1))),":",SUM(MID(B109,FIND(":",B109)+1,FIND("_",B109)-FIND(":",B109)-1),MID(B109,FIND(":",B109,FIND("_",B109))+1,FIND(")",B109)-FIND(":",B109,FIND("_",B109))-1)),MID(B109,(FIND(")",B109)+1),100))),B109))</f>
        <v>PC O-40:7</v>
      </c>
      <c r="D109" s="29">
        <f>'Enter Values'!B109</f>
        <v>0.53476385106203195</v>
      </c>
      <c r="E109" s="29">
        <f>'Enter Values'!C109</f>
        <v>0.61586072598813502</v>
      </c>
      <c r="F109" s="29">
        <f>'Enter Values'!D109</f>
        <v>0.40253019130588302</v>
      </c>
    </row>
    <row r="110" spans="1:6" x14ac:dyDescent="0.2">
      <c r="A110" s="26" t="s">
        <v>427</v>
      </c>
      <c r="B110" s="28" t="str">
        <f>'Enter Values'!A110</f>
        <v>PC O-36:1</v>
      </c>
      <c r="C110" s="26" t="str">
        <f>IF(ISNUMBER(SEARCH("-",B110)),IF(ISNUMBER(SEARCH("(",B110)),IF(ISNUMBER(SEARCH("/",B110)),CONCATENATE(MID(B110,1,IF(ISNUMBER(SEARCH(" ",B110)),FIND(" ",B110)-1,FIND("(",B110)-1))," ",MID(B110,IF(ISNUMBER(SEARCH("-",B110)),FIND("-",B110)-1),2),SUM(MID(B110,FIND("(",B110)+3,(FIND(":",B110)-(FIND("-",B110)+1))),MID(B110,FIND("/",B110)+1,(FIND(":",B110,FIND("/",B110))-FIND("/",B110)-1))),":",SUM(MID(B110,FIND(":",B110)+1,FIND("/",B110)-(FIND(":",B110)+1)),MID(B110,FIND(":",B110,FIND("/",B110))+1,FIND(")",B110)-FIND(":",B110,FIND("/",B110))-1))," ",MID(B110,(FIND(")",B110)+1),100)),CONCATENATE(MID(B110,1,IF(ISNUMBER(SEARCH(" ",B110)),FIND(" ",B110)-1,FIND("(",B110)-1))," ",MID(B110,IF(ISNUMBER(SEARCH("-",B110)),FIND("-",B110)-1),2),SUM(MID(B110,FIND("(",B110)+3,(FIND(":",B110)-(FIND("-",B110)+1))),MID(B110,FIND("_",B110)+1,(FIND(":",B110,FIND("_",B110))-FIND("_",B110)-1))),":",SUM(MID(B110,FIND(":",B110)+1,FIND("_",B110)-(FIND(":",B110)+1)),MID(B110,FIND(":",B110,FIND("_",B110))+1,FIND(")",B110)-FIND(":",B110,FIND("_",B110))-1))," ",MID(B110,(FIND(")",B110)+1),100))),B110),IF(ISNUMBER(SEARCH("(",B110)),IF(ISNUMBER(SEARCH("/",B110)),CONCATENATE(MID(B110,1,IF(ISNUMBER(SEARCH(" ",B110)),FIND(" ",B110)-1,FIND("(",B110)-1))," ",(SUM(MID(B110,FIND("(",B110)+1,FIND(":",B110)-FIND("(",B110)-1),MID(B110,FIND("/",B110)+1,FIND(":",B110,FIND("/",B110))-FIND("/",B110)-1))),":",SUM(MID(B110,FIND(":",B110)+1,FIND("/",B110)-FIND(":",B110)-1),MID(B110,FIND(":",B110,FIND("/",B110))+1,FIND(")",B110)-FIND(":",B110,FIND("/",B110))-1)),MID(B110,(FIND(")",B110)+1),100)),CONCATENATE(MID(B110,1,IF(ISNUMBER(SEARCH(" ",B110)),FIND(" ",B110)-1,FIND("(",B110)-1))," ",(SUM(MID(B110,FIND("(",B110)+1,FIND(":",B110)-FIND("(",B110)-1),MID(B110,FIND("_",B110)+1,FIND(":",B110,FIND("_",B110))-FIND("_",B110)-1))),":",SUM(MID(B110,FIND(":",B110)+1,FIND("_",B110)-FIND(":",B110)-1),MID(B110,FIND(":",B110,FIND("_",B110))+1,FIND(")",B110)-FIND(":",B110,FIND("_",B110))-1)),MID(B110,(FIND(")",B110)+1),100))),B110))</f>
        <v>PC O-36:1</v>
      </c>
      <c r="D110" s="29">
        <f>'Enter Values'!B110</f>
        <v>0.52600360254373901</v>
      </c>
      <c r="E110" s="29">
        <f>'Enter Values'!C110</f>
        <v>0.70352507273665499</v>
      </c>
      <c r="F110" s="29">
        <f>'Enter Values'!D110</f>
        <v>0.50280676117589296</v>
      </c>
    </row>
    <row r="111" spans="1:6" x14ac:dyDescent="0.2">
      <c r="A111" s="26" t="s">
        <v>425</v>
      </c>
      <c r="B111" s="28" t="str">
        <f>'Enter Values'!A111</f>
        <v>LPC 20:3</v>
      </c>
      <c r="C111" s="26" t="str">
        <f>IF(ISNUMBER(SEARCH("-",B111)),IF(ISNUMBER(SEARCH("(",B111)),IF(ISNUMBER(SEARCH("/",B111)),CONCATENATE(MID(B111,1,IF(ISNUMBER(SEARCH(" ",B111)),FIND(" ",B111)-1,FIND("(",B111)-1))," ",MID(B111,IF(ISNUMBER(SEARCH("-",B111)),FIND("-",B111)-1),2),SUM(MID(B111,FIND("(",B111)+3,(FIND(":",B111)-(FIND("-",B111)+1))),MID(B111,FIND("/",B111)+1,(FIND(":",B111,FIND("/",B111))-FIND("/",B111)-1))),":",SUM(MID(B111,FIND(":",B111)+1,FIND("/",B111)-(FIND(":",B111)+1)),MID(B111,FIND(":",B111,FIND("/",B111))+1,FIND(")",B111)-FIND(":",B111,FIND("/",B111))-1))," ",MID(B111,(FIND(")",B111)+1),100)),CONCATENATE(MID(B111,1,IF(ISNUMBER(SEARCH(" ",B111)),FIND(" ",B111)-1,FIND("(",B111)-1))," ",MID(B111,IF(ISNUMBER(SEARCH("-",B111)),FIND("-",B111)-1),2),SUM(MID(B111,FIND("(",B111)+3,(FIND(":",B111)-(FIND("-",B111)+1))),MID(B111,FIND("_",B111)+1,(FIND(":",B111,FIND("_",B111))-FIND("_",B111)-1))),":",SUM(MID(B111,FIND(":",B111)+1,FIND("_",B111)-(FIND(":",B111)+1)),MID(B111,FIND(":",B111,FIND("_",B111))+1,FIND(")",B111)-FIND(":",B111,FIND("_",B111))-1))," ",MID(B111,(FIND(")",B111)+1),100))),B111),IF(ISNUMBER(SEARCH("(",B111)),IF(ISNUMBER(SEARCH("/",B111)),CONCATENATE(MID(B111,1,IF(ISNUMBER(SEARCH(" ",B111)),FIND(" ",B111)-1,FIND("(",B111)-1))," ",(SUM(MID(B111,FIND("(",B111)+1,FIND(":",B111)-FIND("(",B111)-1),MID(B111,FIND("/",B111)+1,FIND(":",B111,FIND("/",B111))-FIND("/",B111)-1))),":",SUM(MID(B111,FIND(":",B111)+1,FIND("/",B111)-FIND(":",B111)-1),MID(B111,FIND(":",B111,FIND("/",B111))+1,FIND(")",B111)-FIND(":",B111,FIND("/",B111))-1)),MID(B111,(FIND(")",B111)+1),100)),CONCATENATE(MID(B111,1,IF(ISNUMBER(SEARCH(" ",B111)),FIND(" ",B111)-1,FIND("(",B111)-1))," ",(SUM(MID(B111,FIND("(",B111)+1,FIND(":",B111)-FIND("(",B111)-1),MID(B111,FIND("_",B111)+1,FIND(":",B111,FIND("_",B111))-FIND("_",B111)-1))),":",SUM(MID(B111,FIND(":",B111)+1,FIND("_",B111)-FIND(":",B111)-1),MID(B111,FIND(":",B111,FIND("_",B111))+1,FIND(")",B111)-FIND(":",B111,FIND("_",B111))-1)),MID(B111,(FIND(")",B111)+1),100))),B111))</f>
        <v>LPC 20:3</v>
      </c>
      <c r="D111" s="29">
        <f>'Enter Values'!B111</f>
        <v>0.99556577070127195</v>
      </c>
      <c r="E111" s="29">
        <f>'Enter Values'!C111</f>
        <v>0.956093814918339</v>
      </c>
      <c r="F111" s="29">
        <f>'Enter Values'!D111</f>
        <v>1.08939494909123</v>
      </c>
    </row>
    <row r="112" spans="1:6" x14ac:dyDescent="0.2">
      <c r="A112" s="26" t="s">
        <v>441</v>
      </c>
      <c r="B112" s="28" t="str">
        <f>'Enter Values'!A112</f>
        <v>PI 32:1</v>
      </c>
      <c r="C112" s="26" t="str">
        <f>IF(ISNUMBER(SEARCH("-",B112)),IF(ISNUMBER(SEARCH("(",B112)),IF(ISNUMBER(SEARCH("/",B112)),CONCATENATE(MID(B112,1,IF(ISNUMBER(SEARCH(" ",B112)),FIND(" ",B112)-1,FIND("(",B112)-1))," ",MID(B112,IF(ISNUMBER(SEARCH("-",B112)),FIND("-",B112)-1),2),SUM(MID(B112,FIND("(",B112)+3,(FIND(":",B112)-(FIND("-",B112)+1))),MID(B112,FIND("/",B112)+1,(FIND(":",B112,FIND("/",B112))-FIND("/",B112)-1))),":",SUM(MID(B112,FIND(":",B112)+1,FIND("/",B112)-(FIND(":",B112)+1)),MID(B112,FIND(":",B112,FIND("/",B112))+1,FIND(")",B112)-FIND(":",B112,FIND("/",B112))-1))," ",MID(B112,(FIND(")",B112)+1),100)),CONCATENATE(MID(B112,1,IF(ISNUMBER(SEARCH(" ",B112)),FIND(" ",B112)-1,FIND("(",B112)-1))," ",MID(B112,IF(ISNUMBER(SEARCH("-",B112)),FIND("-",B112)-1),2),SUM(MID(B112,FIND("(",B112)+3,(FIND(":",B112)-(FIND("-",B112)+1))),MID(B112,FIND("_",B112)+1,(FIND(":",B112,FIND("_",B112))-FIND("_",B112)-1))),":",SUM(MID(B112,FIND(":",B112)+1,FIND("_",B112)-(FIND(":",B112)+1)),MID(B112,FIND(":",B112,FIND("_",B112))+1,FIND(")",B112)-FIND(":",B112,FIND("_",B112))-1))," ",MID(B112,(FIND(")",B112)+1),100))),B112),IF(ISNUMBER(SEARCH("(",B112)),IF(ISNUMBER(SEARCH("/",B112)),CONCATENATE(MID(B112,1,IF(ISNUMBER(SEARCH(" ",B112)),FIND(" ",B112)-1,FIND("(",B112)-1))," ",(SUM(MID(B112,FIND("(",B112)+1,FIND(":",B112)-FIND("(",B112)-1),MID(B112,FIND("/",B112)+1,FIND(":",B112,FIND("/",B112))-FIND("/",B112)-1))),":",SUM(MID(B112,FIND(":",B112)+1,FIND("/",B112)-FIND(":",B112)-1),MID(B112,FIND(":",B112,FIND("/",B112))+1,FIND(")",B112)-FIND(":",B112,FIND("/",B112))-1)),MID(B112,(FIND(")",B112)+1),100)),CONCATENATE(MID(B112,1,IF(ISNUMBER(SEARCH(" ",B112)),FIND(" ",B112)-1,FIND("(",B112)-1))," ",(SUM(MID(B112,FIND("(",B112)+1,FIND(":",B112)-FIND("(",B112)-1),MID(B112,FIND("_",B112)+1,FIND(":",B112,FIND("_",B112))-FIND("_",B112)-1))),":",SUM(MID(B112,FIND(":",B112)+1,FIND("_",B112)-FIND(":",B112)-1),MID(B112,FIND(":",B112,FIND("_",B112))+1,FIND(")",B112)-FIND(":",B112,FIND("_",B112))-1)),MID(B112,(FIND(")",B112)+1),100))),B112))</f>
        <v>PI 32:1</v>
      </c>
      <c r="D112" s="29">
        <f>'Enter Values'!B112</f>
        <v>0.48562746232722098</v>
      </c>
      <c r="E112" s="29">
        <f>'Enter Values'!C112</f>
        <v>0.455349707566918</v>
      </c>
      <c r="F112" s="29">
        <f>'Enter Values'!D112</f>
        <v>0.42662510269349002</v>
      </c>
    </row>
    <row r="113" spans="1:6" x14ac:dyDescent="0.2">
      <c r="A113" s="26" t="s">
        <v>426</v>
      </c>
      <c r="B113" s="28" t="str">
        <f>'Enter Values'!A113</f>
        <v>LPE 18:1</v>
      </c>
      <c r="C113" s="26" t="str">
        <f>IF(ISNUMBER(SEARCH("-",B113)),IF(ISNUMBER(SEARCH("(",B113)),IF(ISNUMBER(SEARCH("/",B113)),CONCATENATE(MID(B113,1,IF(ISNUMBER(SEARCH(" ",B113)),FIND(" ",B113)-1,FIND("(",B113)-1))," ",MID(B113,IF(ISNUMBER(SEARCH("-",B113)),FIND("-",B113)-1),2),SUM(MID(B113,FIND("(",B113)+3,(FIND(":",B113)-(FIND("-",B113)+1))),MID(B113,FIND("/",B113)+1,(FIND(":",B113,FIND("/",B113))-FIND("/",B113)-1))),":",SUM(MID(B113,FIND(":",B113)+1,FIND("/",B113)-(FIND(":",B113)+1)),MID(B113,FIND(":",B113,FIND("/",B113))+1,FIND(")",B113)-FIND(":",B113,FIND("/",B113))-1))," ",MID(B113,(FIND(")",B113)+1),100)),CONCATENATE(MID(B113,1,IF(ISNUMBER(SEARCH(" ",B113)),FIND(" ",B113)-1,FIND("(",B113)-1))," ",MID(B113,IF(ISNUMBER(SEARCH("-",B113)),FIND("-",B113)-1),2),SUM(MID(B113,FIND("(",B113)+3,(FIND(":",B113)-(FIND("-",B113)+1))),MID(B113,FIND("_",B113)+1,(FIND(":",B113,FIND("_",B113))-FIND("_",B113)-1))),":",SUM(MID(B113,FIND(":",B113)+1,FIND("_",B113)-(FIND(":",B113)+1)),MID(B113,FIND(":",B113,FIND("_",B113))+1,FIND(")",B113)-FIND(":",B113,FIND("_",B113))-1))," ",MID(B113,(FIND(")",B113)+1),100))),B113),IF(ISNUMBER(SEARCH("(",B113)),IF(ISNUMBER(SEARCH("/",B113)),CONCATENATE(MID(B113,1,IF(ISNUMBER(SEARCH(" ",B113)),FIND(" ",B113)-1,FIND("(",B113)-1))," ",(SUM(MID(B113,FIND("(",B113)+1,FIND(":",B113)-FIND("(",B113)-1),MID(B113,FIND("/",B113)+1,FIND(":",B113,FIND("/",B113))-FIND("/",B113)-1))),":",SUM(MID(B113,FIND(":",B113)+1,FIND("/",B113)-FIND(":",B113)-1),MID(B113,FIND(":",B113,FIND("/",B113))+1,FIND(")",B113)-FIND(":",B113,FIND("/",B113))-1)),MID(B113,(FIND(")",B113)+1),100)),CONCATENATE(MID(B113,1,IF(ISNUMBER(SEARCH(" ",B113)),FIND(" ",B113)-1,FIND("(",B113)-1))," ",(SUM(MID(B113,FIND("(",B113)+1,FIND(":",B113)-FIND("(",B113)-1),MID(B113,FIND("_",B113)+1,FIND(":",B113,FIND("_",B113))-FIND("_",B113)-1))),":",SUM(MID(B113,FIND(":",B113)+1,FIND("_",B113)-FIND(":",B113)-1),MID(B113,FIND(":",B113,FIND("_",B113))+1,FIND(")",B113)-FIND(":",B113,FIND("_",B113))-1)),MID(B113,(FIND(")",B113)+1),100))),B113))</f>
        <v>LPE 18:1</v>
      </c>
      <c r="D113" s="29">
        <f>'Enter Values'!B113</f>
        <v>0.64368601597255704</v>
      </c>
      <c r="E113" s="29">
        <f>'Enter Values'!C113</f>
        <v>0.625519764554061</v>
      </c>
      <c r="F113" s="29">
        <f>'Enter Values'!D113</f>
        <v>0.67941686607588903</v>
      </c>
    </row>
    <row r="114" spans="1:6" x14ac:dyDescent="0.2">
      <c r="A114" s="26" t="s">
        <v>428</v>
      </c>
      <c r="B114" s="28" t="str">
        <f>'Enter Values'!A114</f>
        <v>PE 40:7</v>
      </c>
      <c r="C114" s="26" t="str">
        <f>IF(ISNUMBER(SEARCH("-",B114)),IF(ISNUMBER(SEARCH("(",B114)),IF(ISNUMBER(SEARCH("/",B114)),CONCATENATE(MID(B114,1,IF(ISNUMBER(SEARCH(" ",B114)),FIND(" ",B114)-1,FIND("(",B114)-1))," ",MID(B114,IF(ISNUMBER(SEARCH("-",B114)),FIND("-",B114)-1),2),SUM(MID(B114,FIND("(",B114)+3,(FIND(":",B114)-(FIND("-",B114)+1))),MID(B114,FIND("/",B114)+1,(FIND(":",B114,FIND("/",B114))-FIND("/",B114)-1))),":",SUM(MID(B114,FIND(":",B114)+1,FIND("/",B114)-(FIND(":",B114)+1)),MID(B114,FIND(":",B114,FIND("/",B114))+1,FIND(")",B114)-FIND(":",B114,FIND("/",B114))-1))," ",MID(B114,(FIND(")",B114)+1),100)),CONCATENATE(MID(B114,1,IF(ISNUMBER(SEARCH(" ",B114)),FIND(" ",B114)-1,FIND("(",B114)-1))," ",MID(B114,IF(ISNUMBER(SEARCH("-",B114)),FIND("-",B114)-1),2),SUM(MID(B114,FIND("(",B114)+3,(FIND(":",B114)-(FIND("-",B114)+1))),MID(B114,FIND("_",B114)+1,(FIND(":",B114,FIND("_",B114))-FIND("_",B114)-1))),":",SUM(MID(B114,FIND(":",B114)+1,FIND("_",B114)-(FIND(":",B114)+1)),MID(B114,FIND(":",B114,FIND("_",B114))+1,FIND(")",B114)-FIND(":",B114,FIND("_",B114))-1))," ",MID(B114,(FIND(")",B114)+1),100))),B114),IF(ISNUMBER(SEARCH("(",B114)),IF(ISNUMBER(SEARCH("/",B114)),CONCATENATE(MID(B114,1,IF(ISNUMBER(SEARCH(" ",B114)),FIND(" ",B114)-1,FIND("(",B114)-1))," ",(SUM(MID(B114,FIND("(",B114)+1,FIND(":",B114)-FIND("(",B114)-1),MID(B114,FIND("/",B114)+1,FIND(":",B114,FIND("/",B114))-FIND("/",B114)-1))),":",SUM(MID(B114,FIND(":",B114)+1,FIND("/",B114)-FIND(":",B114)-1),MID(B114,FIND(":",B114,FIND("/",B114))+1,FIND(")",B114)-FIND(":",B114,FIND("/",B114))-1)),MID(B114,(FIND(")",B114)+1),100)),CONCATENATE(MID(B114,1,IF(ISNUMBER(SEARCH(" ",B114)),FIND(" ",B114)-1,FIND("(",B114)-1))," ",(SUM(MID(B114,FIND("(",B114)+1,FIND(":",B114)-FIND("(",B114)-1),MID(B114,FIND("_",B114)+1,FIND(":",B114,FIND("_",B114))-FIND("_",B114)-1))),":",SUM(MID(B114,FIND(":",B114)+1,FIND("_",B114)-FIND(":",B114)-1),MID(B114,FIND(":",B114,FIND("_",B114))+1,FIND(")",B114)-FIND(":",B114,FIND("_",B114))-1)),MID(B114,(FIND(")",B114)+1),100))),B114))</f>
        <v>PE 40:7</v>
      </c>
      <c r="D114" s="29">
        <f>'Enter Values'!B114</f>
        <v>0.205682265171409</v>
      </c>
      <c r="E114" s="29">
        <f>'Enter Values'!C114</f>
        <v>0.218976440534281</v>
      </c>
      <c r="F114" s="29">
        <f>'Enter Values'!D114</f>
        <v>0.20323347050207799</v>
      </c>
    </row>
    <row r="115" spans="1:6" x14ac:dyDescent="0.2">
      <c r="A115" s="26" t="s">
        <v>429</v>
      </c>
      <c r="B115" s="28" t="str">
        <f>'Enter Values'!A115</f>
        <v>SM d41:3</v>
      </c>
      <c r="C115" s="26" t="str">
        <f>IF(ISNUMBER(SEARCH("(",B115)),IF(ISNUMBER(SEARCH("/",B115)),CONCATENATE(MID(B115,1,IF(ISNUMBER(SEARCH(" ",B115)),FIND(" ",B115)-1,FIND("(",B115)-1))," ","d",(SUM(MID(B115,FIND("(",B115)+2,FIND(":",B115)-FIND("(",B115)-2),MID(B115,FIND("/",B115)+1,FIND(":",B115,FIND("/",B115))-FIND("/",B115)-1))),":",SUM(MID(B115,FIND(":",B115)+1,FIND("/",B115)-FIND(":",B115)-1),MID(B115,FIND(":",B115,FIND("/",B115))+1,FIND(")",B115)-FIND(":",B115,FIND("/",B115))-1)),MID(B115,(FIND(")",B115)+1),100)),CONCATENATE(MID(B115,1,IF(ISNUMBER(SEARCH(" ",B115)),FIND(" ",B115)-1,FIND("(",B115)-1))," ","d",(SUM(MID(B115,FIND("(",B115)+2,FIND(":",B115)-FIND("(",B115)-2),MID(B115,FIND("_",B115)+1,FIND(":",B115,FIND("_",B115))-FIND("_",B115)-1))),":",SUM(MID(B115,FIND(":",B115)+1,FIND("_",B115)-FIND(":",B115)-1),MID(B115,FIND(":",B115,FIND("_",B115))+1,FIND(")",B115)-FIND(":",B115,FIND("_",B115))-1)),MID(B115,(FIND(")",B115)+1),100))),CONCATENATE(MID(B115,1,FIND(" ",B115)-1)," ","d",MID(B115,FIND("d",B115)+1,100)))</f>
        <v>SM d41:3</v>
      </c>
      <c r="D115" s="29">
        <f>'Enter Values'!B115</f>
        <v>0.46114835499340101</v>
      </c>
      <c r="E115" s="29">
        <f>'Enter Values'!C115</f>
        <v>0.41847193690972101</v>
      </c>
      <c r="F115" s="29">
        <f>'Enter Values'!D115</f>
        <v>0.41473178069378602</v>
      </c>
    </row>
    <row r="116" spans="1:6" x14ac:dyDescent="0.2">
      <c r="A116" s="26" t="s">
        <v>427</v>
      </c>
      <c r="B116" s="28" t="str">
        <f>'Enter Values'!A116</f>
        <v>PC O-34:0</v>
      </c>
      <c r="C116" s="26" t="str">
        <f>IF(ISNUMBER(SEARCH("-",B116)),IF(ISNUMBER(SEARCH("(",B116)),IF(ISNUMBER(SEARCH("/",B116)),CONCATENATE(MID(B116,1,IF(ISNUMBER(SEARCH(" ",B116)),FIND(" ",B116)-1,FIND("(",B116)-1))," ",MID(B116,IF(ISNUMBER(SEARCH("-",B116)),FIND("-",B116)-1),2),SUM(MID(B116,FIND("(",B116)+3,(FIND(":",B116)-(FIND("-",B116)+1))),MID(B116,FIND("/",B116)+1,(FIND(":",B116,FIND("/",B116))-FIND("/",B116)-1))),":",SUM(MID(B116,FIND(":",B116)+1,FIND("/",B116)-(FIND(":",B116)+1)),MID(B116,FIND(":",B116,FIND("/",B116))+1,FIND(")",B116)-FIND(":",B116,FIND("/",B116))-1))," ",MID(B116,(FIND(")",B116)+1),100)),CONCATENATE(MID(B116,1,IF(ISNUMBER(SEARCH(" ",B116)),FIND(" ",B116)-1,FIND("(",B116)-1))," ",MID(B116,IF(ISNUMBER(SEARCH("-",B116)),FIND("-",B116)-1),2),SUM(MID(B116,FIND("(",B116)+3,(FIND(":",B116)-(FIND("-",B116)+1))),MID(B116,FIND("_",B116)+1,(FIND(":",B116,FIND("_",B116))-FIND("_",B116)-1))),":",SUM(MID(B116,FIND(":",B116)+1,FIND("_",B116)-(FIND(":",B116)+1)),MID(B116,FIND(":",B116,FIND("_",B116))+1,FIND(")",B116)-FIND(":",B116,FIND("_",B116))-1))," ",MID(B116,(FIND(")",B116)+1),100))),B116),IF(ISNUMBER(SEARCH("(",B116)),IF(ISNUMBER(SEARCH("/",B116)),CONCATENATE(MID(B116,1,IF(ISNUMBER(SEARCH(" ",B116)),FIND(" ",B116)-1,FIND("(",B116)-1))," ",(SUM(MID(B116,FIND("(",B116)+1,FIND(":",B116)-FIND("(",B116)-1),MID(B116,FIND("/",B116)+1,FIND(":",B116,FIND("/",B116))-FIND("/",B116)-1))),":",SUM(MID(B116,FIND(":",B116)+1,FIND("/",B116)-FIND(":",B116)-1),MID(B116,FIND(":",B116,FIND("/",B116))+1,FIND(")",B116)-FIND(":",B116,FIND("/",B116))-1)),MID(B116,(FIND(")",B116)+1),100)),CONCATENATE(MID(B116,1,IF(ISNUMBER(SEARCH(" ",B116)),FIND(" ",B116)-1,FIND("(",B116)-1))," ",(SUM(MID(B116,FIND("(",B116)+1,FIND(":",B116)-FIND("(",B116)-1),MID(B116,FIND("_",B116)+1,FIND(":",B116,FIND("_",B116))-FIND("_",B116)-1))),":",SUM(MID(B116,FIND(":",B116)+1,FIND("_",B116)-FIND(":",B116)-1),MID(B116,FIND(":",B116,FIND("_",B116))+1,FIND(")",B116)-FIND(":",B116,FIND("_",B116))-1)),MID(B116,(FIND(")",B116)+1),100))),B116))</f>
        <v>PC O-34:0</v>
      </c>
      <c r="D116" s="29">
        <f>'Enter Values'!B116</f>
        <v>0.38585723772596597</v>
      </c>
      <c r="E116" s="29">
        <f>'Enter Values'!C116</f>
        <v>0.45807224228944898</v>
      </c>
      <c r="F116" s="29">
        <f>'Enter Values'!D116</f>
        <v>0.351749240511118</v>
      </c>
    </row>
    <row r="117" spans="1:6" x14ac:dyDescent="0.2">
      <c r="A117" s="26" t="s">
        <v>425</v>
      </c>
      <c r="B117" s="28" t="str">
        <f>'Enter Values'!A117</f>
        <v>LPC 22:6</v>
      </c>
      <c r="C117" s="26" t="str">
        <f>IF(ISNUMBER(SEARCH("-",B117)),IF(ISNUMBER(SEARCH("(",B117)),IF(ISNUMBER(SEARCH("/",B117)),CONCATENATE(MID(B117,1,IF(ISNUMBER(SEARCH(" ",B117)),FIND(" ",B117)-1,FIND("(",B117)-1))," ",MID(B117,IF(ISNUMBER(SEARCH("-",B117)),FIND("-",B117)-1),2),SUM(MID(B117,FIND("(",B117)+3,(FIND(":",B117)-(FIND("-",B117)+1))),MID(B117,FIND("/",B117)+1,(FIND(":",B117,FIND("/",B117))-FIND("/",B117)-1))),":",SUM(MID(B117,FIND(":",B117)+1,FIND("/",B117)-(FIND(":",B117)+1)),MID(B117,FIND(":",B117,FIND("/",B117))+1,FIND(")",B117)-FIND(":",B117,FIND("/",B117))-1))," ",MID(B117,(FIND(")",B117)+1),100)),CONCATENATE(MID(B117,1,IF(ISNUMBER(SEARCH(" ",B117)),FIND(" ",B117)-1,FIND("(",B117)-1))," ",MID(B117,IF(ISNUMBER(SEARCH("-",B117)),FIND("-",B117)-1),2),SUM(MID(B117,FIND("(",B117)+3,(FIND(":",B117)-(FIND("-",B117)+1))),MID(B117,FIND("_",B117)+1,(FIND(":",B117,FIND("_",B117))-FIND("_",B117)-1))),":",SUM(MID(B117,FIND(":",B117)+1,FIND("_",B117)-(FIND(":",B117)+1)),MID(B117,FIND(":",B117,FIND("_",B117))+1,FIND(")",B117)-FIND(":",B117,FIND("_",B117))-1))," ",MID(B117,(FIND(")",B117)+1),100))),B117),IF(ISNUMBER(SEARCH("(",B117)),IF(ISNUMBER(SEARCH("/",B117)),CONCATENATE(MID(B117,1,IF(ISNUMBER(SEARCH(" ",B117)),FIND(" ",B117)-1,FIND("(",B117)-1))," ",(SUM(MID(B117,FIND("(",B117)+1,FIND(":",B117)-FIND("(",B117)-1),MID(B117,FIND("/",B117)+1,FIND(":",B117,FIND("/",B117))-FIND("/",B117)-1))),":",SUM(MID(B117,FIND(":",B117)+1,FIND("/",B117)-FIND(":",B117)-1),MID(B117,FIND(":",B117,FIND("/",B117))+1,FIND(")",B117)-FIND(":",B117,FIND("/",B117))-1)),MID(B117,(FIND(")",B117)+1),100)),CONCATENATE(MID(B117,1,IF(ISNUMBER(SEARCH(" ",B117)),FIND(" ",B117)-1,FIND("(",B117)-1))," ",(SUM(MID(B117,FIND("(",B117)+1,FIND(":",B117)-FIND("(",B117)-1),MID(B117,FIND("_",B117)+1,FIND(":",B117,FIND("_",B117))-FIND("_",B117)-1))),":",SUM(MID(B117,FIND(":",B117)+1,FIND("_",B117)-FIND(":",B117)-1),MID(B117,FIND(":",B117,FIND("_",B117))+1,FIND(")",B117)-FIND(":",B117,FIND("_",B117))-1)),MID(B117,(FIND(")",B117)+1),100))),B117))</f>
        <v>LPC 22:6</v>
      </c>
      <c r="D117" s="29">
        <f>'Enter Values'!B117</f>
        <v>0.78374648613638997</v>
      </c>
      <c r="E117" s="29">
        <f>'Enter Values'!C117</f>
        <v>0.74988664124493998</v>
      </c>
      <c r="F117" s="29">
        <f>'Enter Values'!D117</f>
        <v>0.98089936712682502</v>
      </c>
    </row>
    <row r="118" spans="1:6" x14ac:dyDescent="0.2">
      <c r="A118" s="26" t="s">
        <v>441</v>
      </c>
      <c r="B118" s="28" t="str">
        <f>'Enter Values'!A118</f>
        <v>PI 40:6</v>
      </c>
      <c r="C118" s="26" t="str">
        <f>IF(ISNUMBER(SEARCH("-",B118)),IF(ISNUMBER(SEARCH("(",B118)),IF(ISNUMBER(SEARCH("/",B118)),CONCATENATE(MID(B118,1,IF(ISNUMBER(SEARCH(" ",B118)),FIND(" ",B118)-1,FIND("(",B118)-1))," ",MID(B118,IF(ISNUMBER(SEARCH("-",B118)),FIND("-",B118)-1),2),SUM(MID(B118,FIND("(",B118)+3,(FIND(":",B118)-(FIND("-",B118)+1))),MID(B118,FIND("/",B118)+1,(FIND(":",B118,FIND("/",B118))-FIND("/",B118)-1))),":",SUM(MID(B118,FIND(":",B118)+1,FIND("/",B118)-(FIND(":",B118)+1)),MID(B118,FIND(":",B118,FIND("/",B118))+1,FIND(")",B118)-FIND(":",B118,FIND("/",B118))-1))," ",MID(B118,(FIND(")",B118)+1),100)),CONCATENATE(MID(B118,1,IF(ISNUMBER(SEARCH(" ",B118)),FIND(" ",B118)-1,FIND("(",B118)-1))," ",MID(B118,IF(ISNUMBER(SEARCH("-",B118)),FIND("-",B118)-1),2),SUM(MID(B118,FIND("(",B118)+3,(FIND(":",B118)-(FIND("-",B118)+1))),MID(B118,FIND("_",B118)+1,(FIND(":",B118,FIND("_",B118))-FIND("_",B118)-1))),":",SUM(MID(B118,FIND(":",B118)+1,FIND("_",B118)-(FIND(":",B118)+1)),MID(B118,FIND(":",B118,FIND("_",B118))+1,FIND(")",B118)-FIND(":",B118,FIND("_",B118))-1))," ",MID(B118,(FIND(")",B118)+1),100))),B118),IF(ISNUMBER(SEARCH("(",B118)),IF(ISNUMBER(SEARCH("/",B118)),CONCATENATE(MID(B118,1,IF(ISNUMBER(SEARCH(" ",B118)),FIND(" ",B118)-1,FIND("(",B118)-1))," ",(SUM(MID(B118,FIND("(",B118)+1,FIND(":",B118)-FIND("(",B118)-1),MID(B118,FIND("/",B118)+1,FIND(":",B118,FIND("/",B118))-FIND("/",B118)-1))),":",SUM(MID(B118,FIND(":",B118)+1,FIND("/",B118)-FIND(":",B118)-1),MID(B118,FIND(":",B118,FIND("/",B118))+1,FIND(")",B118)-FIND(":",B118,FIND("/",B118))-1)),MID(B118,(FIND(")",B118)+1),100)),CONCATENATE(MID(B118,1,IF(ISNUMBER(SEARCH(" ",B118)),FIND(" ",B118)-1,FIND("(",B118)-1))," ",(SUM(MID(B118,FIND("(",B118)+1,FIND(":",B118)-FIND("(",B118)-1),MID(B118,FIND("_",B118)+1,FIND(":",B118,FIND("_",B118))-FIND("_",B118)-1))),":",SUM(MID(B118,FIND(":",B118)+1,FIND("_",B118)-FIND(":",B118)-1),MID(B118,FIND(":",B118,FIND("_",B118))+1,FIND(")",B118)-FIND(":",B118,FIND("_",B118))-1)),MID(B118,(FIND(")",B118)+1),100))),B118))</f>
        <v>PI 40:6</v>
      </c>
      <c r="D118" s="29">
        <f>'Enter Values'!B118</f>
        <v>0.38921455381495601</v>
      </c>
      <c r="E118" s="29">
        <f>'Enter Values'!C118</f>
        <v>0.38034774988956399</v>
      </c>
      <c r="F118" s="29">
        <f>'Enter Values'!D118</f>
        <v>0.38684178537636299</v>
      </c>
    </row>
    <row r="119" spans="1:6" x14ac:dyDescent="0.2">
      <c r="A119" s="26" t="s">
        <v>480</v>
      </c>
      <c r="B119" s="28" t="str">
        <f>'Enter Values'!A119</f>
        <v>PG 36:2</v>
      </c>
      <c r="C119" s="26" t="str">
        <f>IF(ISNUMBER(SEARCH("-",B119)),IF(ISNUMBER(SEARCH("(",B119)),IF(ISNUMBER(SEARCH("/",B119)),CONCATENATE(MID(B119,1,IF(ISNUMBER(SEARCH(" ",B119)),FIND(" ",B119)-1,FIND("(",B119)-1))," ",MID(B119,IF(ISNUMBER(SEARCH("-",B119)),FIND("-",B119)-1),2),SUM(MID(B119,FIND("(",B119)+3,(FIND(":",B119)-(FIND("-",B119)+1))),MID(B119,FIND("/",B119)+1,(FIND(":",B119,FIND("/",B119))-FIND("/",B119)-1))),":",SUM(MID(B119,FIND(":",B119)+1,FIND("/",B119)-(FIND(":",B119)+1)),MID(B119,FIND(":",B119,FIND("/",B119))+1,FIND(")",B119)-FIND(":",B119,FIND("/",B119))-1))," ",MID(B119,(FIND(")",B119)+1),100)),CONCATENATE(MID(B119,1,IF(ISNUMBER(SEARCH(" ",B119)),FIND(" ",B119)-1,FIND("(",B119)-1))," ",MID(B119,IF(ISNUMBER(SEARCH("-",B119)),FIND("-",B119)-1),2),SUM(MID(B119,FIND("(",B119)+3,(FIND(":",B119)-(FIND("-",B119)+1))),MID(B119,FIND("_",B119)+1,(FIND(":",B119,FIND("_",B119))-FIND("_",B119)-1))),":",SUM(MID(B119,FIND(":",B119)+1,FIND("_",B119)-(FIND(":",B119)+1)),MID(B119,FIND(":",B119,FIND("_",B119))+1,FIND(")",B119)-FIND(":",B119,FIND("_",B119))-1))," ",MID(B119,(FIND(")",B119)+1),100))),B119),IF(ISNUMBER(SEARCH("(",B119)),IF(ISNUMBER(SEARCH("/",B119)),CONCATENATE(MID(B119,1,IF(ISNUMBER(SEARCH(" ",B119)),FIND(" ",B119)-1,FIND("(",B119)-1))," ",(SUM(MID(B119,FIND("(",B119)+1,FIND(":",B119)-FIND("(",B119)-1),MID(B119,FIND("/",B119)+1,FIND(":",B119,FIND("/",B119))-FIND("/",B119)-1))),":",SUM(MID(B119,FIND(":",B119)+1,FIND("/",B119)-FIND(":",B119)-1),MID(B119,FIND(":",B119,FIND("/",B119))+1,FIND(")",B119)-FIND(":",B119,FIND("/",B119))-1)),MID(B119,(FIND(")",B119)+1),100)),CONCATENATE(MID(B119,1,IF(ISNUMBER(SEARCH(" ",B119)),FIND(" ",B119)-1,FIND("(",B119)-1))," ",(SUM(MID(B119,FIND("(",B119)+1,FIND(":",B119)-FIND("(",B119)-1),MID(B119,FIND("_",B119)+1,FIND(":",B119,FIND("_",B119))-FIND("_",B119)-1))),":",SUM(MID(B119,FIND(":",B119)+1,FIND("_",B119)-FIND(":",B119)-1),MID(B119,FIND(":",B119,FIND("_",B119))+1,FIND(")",B119)-FIND(":",B119,FIND("_",B119))-1)),MID(B119,(FIND(")",B119)+1),100))),B119))</f>
        <v>PG 36:2</v>
      </c>
      <c r="D119" s="29">
        <f>'Enter Values'!B119</f>
        <v>0.38649122229083799</v>
      </c>
      <c r="E119" s="29">
        <f>'Enter Values'!C119</f>
        <v>0.33650256019432001</v>
      </c>
      <c r="F119" s="29">
        <f>'Enter Values'!D119</f>
        <v>0.50561385642282997</v>
      </c>
    </row>
    <row r="120" spans="1:6" x14ac:dyDescent="0.2">
      <c r="A120" s="26" t="s">
        <v>426</v>
      </c>
      <c r="B120" s="28" t="str">
        <f>'Enter Values'!A120</f>
        <v>LPE 16:0</v>
      </c>
      <c r="C120" s="26" t="str">
        <f>IF(ISNUMBER(SEARCH("-",B120)),IF(ISNUMBER(SEARCH("(",B120)),IF(ISNUMBER(SEARCH("/",B120)),CONCATENATE(MID(B120,1,IF(ISNUMBER(SEARCH(" ",B120)),FIND(" ",B120)-1,FIND("(",B120)-1))," ",MID(B120,IF(ISNUMBER(SEARCH("-",B120)),FIND("-",B120)-1),2),SUM(MID(B120,FIND("(",B120)+3,(FIND(":",B120)-(FIND("-",B120)+1))),MID(B120,FIND("/",B120)+1,(FIND(":",B120,FIND("/",B120))-FIND("/",B120)-1))),":",SUM(MID(B120,FIND(":",B120)+1,FIND("/",B120)-(FIND(":",B120)+1)),MID(B120,FIND(":",B120,FIND("/",B120))+1,FIND(")",B120)-FIND(":",B120,FIND("/",B120))-1))," ",MID(B120,(FIND(")",B120)+1),100)),CONCATENATE(MID(B120,1,IF(ISNUMBER(SEARCH(" ",B120)),FIND(" ",B120)-1,FIND("(",B120)-1))," ",MID(B120,IF(ISNUMBER(SEARCH("-",B120)),FIND("-",B120)-1),2),SUM(MID(B120,FIND("(",B120)+3,(FIND(":",B120)-(FIND("-",B120)+1))),MID(B120,FIND("_",B120)+1,(FIND(":",B120,FIND("_",B120))-FIND("_",B120)-1))),":",SUM(MID(B120,FIND(":",B120)+1,FIND("_",B120)-(FIND(":",B120)+1)),MID(B120,FIND(":",B120,FIND("_",B120))+1,FIND(")",B120)-FIND(":",B120,FIND("_",B120))-1))," ",MID(B120,(FIND(")",B120)+1),100))),B120),IF(ISNUMBER(SEARCH("(",B120)),IF(ISNUMBER(SEARCH("/",B120)),CONCATENATE(MID(B120,1,IF(ISNUMBER(SEARCH(" ",B120)),FIND(" ",B120)-1,FIND("(",B120)-1))," ",(SUM(MID(B120,FIND("(",B120)+1,FIND(":",B120)-FIND("(",B120)-1),MID(B120,FIND("/",B120)+1,FIND(":",B120,FIND("/",B120))-FIND("/",B120)-1))),":",SUM(MID(B120,FIND(":",B120)+1,FIND("/",B120)-FIND(":",B120)-1),MID(B120,FIND(":",B120,FIND("/",B120))+1,FIND(")",B120)-FIND(":",B120,FIND("/",B120))-1)),MID(B120,(FIND(")",B120)+1),100)),CONCATENATE(MID(B120,1,IF(ISNUMBER(SEARCH(" ",B120)),FIND(" ",B120)-1,FIND("(",B120)-1))," ",(SUM(MID(B120,FIND("(",B120)+1,FIND(":",B120)-FIND("(",B120)-1),MID(B120,FIND("_",B120)+1,FIND(":",B120,FIND("_",B120))-FIND("_",B120)-1))),":",SUM(MID(B120,FIND(":",B120)+1,FIND("_",B120)-FIND(":",B120)-1),MID(B120,FIND(":",B120,FIND("_",B120))+1,FIND(")",B120)-FIND(":",B120,FIND("_",B120))-1)),MID(B120,(FIND(")",B120)+1),100))),B120))</f>
        <v>LPE 16:0</v>
      </c>
      <c r="D120" s="29">
        <f>'Enter Values'!B120</f>
        <v>0.53286264315449094</v>
      </c>
      <c r="E120" s="29">
        <f>'Enter Values'!C120</f>
        <v>0.55454778227762402</v>
      </c>
      <c r="F120" s="29">
        <f>'Enter Values'!D120</f>
        <v>0.62817046373076801</v>
      </c>
    </row>
    <row r="121" spans="1:6" x14ac:dyDescent="0.2">
      <c r="A121" s="26" t="s">
        <v>429</v>
      </c>
      <c r="B121" s="28" t="str">
        <f>'Enter Values'!A121</f>
        <v>SM d37:1</v>
      </c>
      <c r="C121" s="26" t="str">
        <f>IF(ISNUMBER(SEARCH("(",B121)),IF(ISNUMBER(SEARCH("/",B121)),CONCATENATE(MID(B121,1,IF(ISNUMBER(SEARCH(" ",B121)),FIND(" ",B121)-1,FIND("(",B121)-1))," ","d",(SUM(MID(B121,FIND("(",B121)+2,FIND(":",B121)-FIND("(",B121)-2),MID(B121,FIND("/",B121)+1,FIND(":",B121,FIND("/",B121))-FIND("/",B121)-1))),":",SUM(MID(B121,FIND(":",B121)+1,FIND("/",B121)-FIND(":",B121)-1),MID(B121,FIND(":",B121,FIND("/",B121))+1,FIND(")",B121)-FIND(":",B121,FIND("/",B121))-1)),MID(B121,(FIND(")",B121)+1),100)),CONCATENATE(MID(B121,1,IF(ISNUMBER(SEARCH(" ",B121)),FIND(" ",B121)-1,FIND("(",B121)-1))," ","d",(SUM(MID(B121,FIND("(",B121)+2,FIND(":",B121)-FIND("(",B121)-2),MID(B121,FIND("_",B121)+1,FIND(":",B121,FIND("_",B121))-FIND("_",B121)-1))),":",SUM(MID(B121,FIND(":",B121)+1,FIND("_",B121)-FIND(":",B121)-1),MID(B121,FIND(":",B121,FIND("_",B121))+1,FIND(")",B121)-FIND(":",B121,FIND("_",B121))-1)),MID(B121,(FIND(")",B121)+1),100))),CONCATENATE(MID(B121,1,FIND(" ",B121)-1)," ","d",MID(B121,FIND("d",B121)+1,100)))</f>
        <v>SM d37:1</v>
      </c>
      <c r="D121" s="29">
        <f>'Enter Values'!B121</f>
        <v>0.40565659851193397</v>
      </c>
      <c r="E121" s="29">
        <f>'Enter Values'!C121</f>
        <v>0.50578846948834499</v>
      </c>
      <c r="F121" s="29">
        <f>'Enter Values'!D121</f>
        <v>0.35787202126661799</v>
      </c>
    </row>
    <row r="122" spans="1:6" x14ac:dyDescent="0.2">
      <c r="A122" s="26" t="s">
        <v>428</v>
      </c>
      <c r="B122" s="28" t="str">
        <f>'Enter Values'!A122</f>
        <v>PE 40:5</v>
      </c>
      <c r="C122" s="26" t="str">
        <f>IF(ISNUMBER(SEARCH("-",B122)),IF(ISNUMBER(SEARCH("(",B122)),IF(ISNUMBER(SEARCH("/",B122)),CONCATENATE(MID(B122,1,IF(ISNUMBER(SEARCH(" ",B122)),FIND(" ",B122)-1,FIND("(",B122)-1))," ",MID(B122,IF(ISNUMBER(SEARCH("-",B122)),FIND("-",B122)-1),2),SUM(MID(B122,FIND("(",B122)+3,(FIND(":",B122)-(FIND("-",B122)+1))),MID(B122,FIND("/",B122)+1,(FIND(":",B122,FIND("/",B122))-FIND("/",B122)-1))),":",SUM(MID(B122,FIND(":",B122)+1,FIND("/",B122)-(FIND(":",B122)+1)),MID(B122,FIND(":",B122,FIND("/",B122))+1,FIND(")",B122)-FIND(":",B122,FIND("/",B122))-1))," ",MID(B122,(FIND(")",B122)+1),100)),CONCATENATE(MID(B122,1,IF(ISNUMBER(SEARCH(" ",B122)),FIND(" ",B122)-1,FIND("(",B122)-1))," ",MID(B122,IF(ISNUMBER(SEARCH("-",B122)),FIND("-",B122)-1),2),SUM(MID(B122,FIND("(",B122)+3,(FIND(":",B122)-(FIND("-",B122)+1))),MID(B122,FIND("_",B122)+1,(FIND(":",B122,FIND("_",B122))-FIND("_",B122)-1))),":",SUM(MID(B122,FIND(":",B122)+1,FIND("_",B122)-(FIND(":",B122)+1)),MID(B122,FIND(":",B122,FIND("_",B122))+1,FIND(")",B122)-FIND(":",B122,FIND("_",B122))-1))," ",MID(B122,(FIND(")",B122)+1),100))),B122),IF(ISNUMBER(SEARCH("(",B122)),IF(ISNUMBER(SEARCH("/",B122)),CONCATENATE(MID(B122,1,IF(ISNUMBER(SEARCH(" ",B122)),FIND(" ",B122)-1,FIND("(",B122)-1))," ",(SUM(MID(B122,FIND("(",B122)+1,FIND(":",B122)-FIND("(",B122)-1),MID(B122,FIND("/",B122)+1,FIND(":",B122,FIND("/",B122))-FIND("/",B122)-1))),":",SUM(MID(B122,FIND(":",B122)+1,FIND("/",B122)-FIND(":",B122)-1),MID(B122,FIND(":",B122,FIND("/",B122))+1,FIND(")",B122)-FIND(":",B122,FIND("/",B122))-1)),MID(B122,(FIND(")",B122)+1),100)),CONCATENATE(MID(B122,1,IF(ISNUMBER(SEARCH(" ",B122)),FIND(" ",B122)-1,FIND("(",B122)-1))," ",(SUM(MID(B122,FIND("(",B122)+1,FIND(":",B122)-FIND("(",B122)-1),MID(B122,FIND("_",B122)+1,FIND(":",B122,FIND("_",B122))-FIND("_",B122)-1))),":",SUM(MID(B122,FIND(":",B122)+1,FIND("_",B122)-FIND(":",B122)-1),MID(B122,FIND(":",B122,FIND("_",B122))+1,FIND(")",B122)-FIND(":",B122,FIND("_",B122))-1)),MID(B122,(FIND(")",B122)+1),100))),B122))</f>
        <v>PE 40:5</v>
      </c>
      <c r="D122" s="29">
        <f>'Enter Values'!B122</f>
        <v>0.17283334666994801</v>
      </c>
      <c r="E122" s="29">
        <f>'Enter Values'!C122</f>
        <v>0.18510152657862</v>
      </c>
      <c r="F122" s="29">
        <f>'Enter Values'!D122</f>
        <v>0.16953186343151899</v>
      </c>
    </row>
    <row r="123" spans="1:6" x14ac:dyDescent="0.2">
      <c r="A123" s="26" t="s">
        <v>429</v>
      </c>
      <c r="B123" s="28" t="str">
        <f>'Enter Values'!A123</f>
        <v>SM d39:2</v>
      </c>
      <c r="C123" s="26" t="str">
        <f>IF(ISNUMBER(SEARCH("(",B123)),IF(ISNUMBER(SEARCH("/",B123)),CONCATENATE(MID(B123,1,IF(ISNUMBER(SEARCH(" ",B123)),FIND(" ",B123)-1,FIND("(",B123)-1))," ","d",(SUM(MID(B123,FIND("(",B123)+2,FIND(":",B123)-FIND("(",B123)-2),MID(B123,FIND("/",B123)+1,FIND(":",B123,FIND("/",B123))-FIND("/",B123)-1))),":",SUM(MID(B123,FIND(":",B123)+1,FIND("/",B123)-FIND(":",B123)-1),MID(B123,FIND(":",B123,FIND("/",B123))+1,FIND(")",B123)-FIND(":",B123,FIND("/",B123))-1)),MID(B123,(FIND(")",B123)+1),100)),CONCATENATE(MID(B123,1,IF(ISNUMBER(SEARCH(" ",B123)),FIND(" ",B123)-1,FIND("(",B123)-1))," ","d",(SUM(MID(B123,FIND("(",B123)+2,FIND(":",B123)-FIND("(",B123)-2),MID(B123,FIND("_",B123)+1,FIND(":",B123,FIND("_",B123))-FIND("_",B123)-1))),":",SUM(MID(B123,FIND(":",B123)+1,FIND("_",B123)-FIND(":",B123)-1),MID(B123,FIND(":",B123,FIND("_",B123))+1,FIND(")",B123)-FIND(":",B123,FIND("_",B123))-1)),MID(B123,(FIND(")",B123)+1),100))),CONCATENATE(MID(B123,1,FIND(" ",B123)-1)," ","d",MID(B123,FIND("d",B123)+1,100)))</f>
        <v>SM d39:2</v>
      </c>
      <c r="D123" s="29">
        <f>'Enter Values'!B123</f>
        <v>0.38173628134908599</v>
      </c>
      <c r="E123" s="29">
        <f>'Enter Values'!C123</f>
        <v>0.37261179126784699</v>
      </c>
      <c r="F123" s="29">
        <f>'Enter Values'!D123</f>
        <v>0.42454985423527197</v>
      </c>
    </row>
    <row r="124" spans="1:6" x14ac:dyDescent="0.2">
      <c r="A124" s="26" t="s">
        <v>481</v>
      </c>
      <c r="B124" s="28" t="str">
        <f>'Enter Values'!A124</f>
        <v>GCDCA</v>
      </c>
      <c r="C124" s="26" t="str">
        <f>B124</f>
        <v>GCDCA</v>
      </c>
      <c r="D124" s="29">
        <f>'Enter Values'!B124</f>
        <v>0.43123242393382299</v>
      </c>
      <c r="E124" s="29">
        <f>'Enter Values'!C124</f>
        <v>0.405337517464741</v>
      </c>
      <c r="F124" s="29">
        <f>'Enter Values'!D124</f>
        <v>0.42070680841966102</v>
      </c>
    </row>
    <row r="125" spans="1:6" x14ac:dyDescent="0.2">
      <c r="A125" s="26" t="s">
        <v>481</v>
      </c>
      <c r="B125" s="28" t="str">
        <f>'Enter Values'!A125</f>
        <v>GDCA</v>
      </c>
      <c r="C125" s="26" t="str">
        <f>B125</f>
        <v>GDCA</v>
      </c>
      <c r="D125" s="29">
        <f>'Enter Values'!B125</f>
        <v>0.43123242393382299</v>
      </c>
      <c r="E125" s="29">
        <f>'Enter Values'!C125</f>
        <v>0.405337517464741</v>
      </c>
      <c r="F125" s="29">
        <f>'Enter Values'!D125</f>
        <v>0.42070680841966102</v>
      </c>
    </row>
    <row r="126" spans="1:6" x14ac:dyDescent="0.2">
      <c r="A126" s="26" t="s">
        <v>481</v>
      </c>
      <c r="B126" s="28" t="str">
        <f>'Enter Values'!A126</f>
        <v>GUDCA</v>
      </c>
      <c r="C126" s="26" t="str">
        <f>B126</f>
        <v>GUDCA</v>
      </c>
      <c r="D126" s="29">
        <f>'Enter Values'!B126</f>
        <v>0.43123242393382299</v>
      </c>
      <c r="E126" s="29">
        <f>'Enter Values'!C126</f>
        <v>0.405337517464741</v>
      </c>
      <c r="F126" s="29">
        <f>'Enter Values'!D126</f>
        <v>0.42070680841966102</v>
      </c>
    </row>
    <row r="127" spans="1:6" x14ac:dyDescent="0.2">
      <c r="A127" s="26" t="s">
        <v>427</v>
      </c>
      <c r="B127" s="28" t="str">
        <f>'Enter Values'!A127</f>
        <v>PC P-38:6</v>
      </c>
      <c r="C127" s="26" t="str">
        <f>IF(ISNUMBER(SEARCH("-",B127)),IF(ISNUMBER(SEARCH("(",B127)),IF(ISNUMBER(SEARCH("/",B127)),CONCATENATE(MID(B127,1,IF(ISNUMBER(SEARCH(" ",B127)),FIND(" ",B127)-1,FIND("(",B127)-1))," ",MID(B127,IF(ISNUMBER(SEARCH("-",B127)),FIND("-",B127)-1),2),SUM(MID(B127,FIND("(",B127)+3,(FIND(":",B127)-(FIND("-",B127)+1))),MID(B127,FIND("/",B127)+1,(FIND(":",B127,FIND("/",B127))-FIND("/",B127)-1))),":",SUM(MID(B127,FIND(":",B127)+1,FIND("/",B127)-(FIND(":",B127)+1)),MID(B127,FIND(":",B127,FIND("/",B127))+1,FIND(")",B127)-FIND(":",B127,FIND("/",B127))-1))," ",MID(B127,(FIND(")",B127)+1),100)),CONCATENATE(MID(B127,1,IF(ISNUMBER(SEARCH(" ",B127)),FIND(" ",B127)-1,FIND("(",B127)-1))," ",MID(B127,IF(ISNUMBER(SEARCH("-",B127)),FIND("-",B127)-1),2),SUM(MID(B127,FIND("(",B127)+3,(FIND(":",B127)-(FIND("-",B127)+1))),MID(B127,FIND("_",B127)+1,(FIND(":",B127,FIND("_",B127))-FIND("_",B127)-1))),":",SUM(MID(B127,FIND(":",B127)+1,FIND("_",B127)-(FIND(":",B127)+1)),MID(B127,FIND(":",B127,FIND("_",B127))+1,FIND(")",B127)-FIND(":",B127,FIND("_",B127))-1))," ",MID(B127,(FIND(")",B127)+1),100))),B127),IF(ISNUMBER(SEARCH("(",B127)),IF(ISNUMBER(SEARCH("/",B127)),CONCATENATE(MID(B127,1,IF(ISNUMBER(SEARCH(" ",B127)),FIND(" ",B127)-1,FIND("(",B127)-1))," ",(SUM(MID(B127,FIND("(",B127)+1,FIND(":",B127)-FIND("(",B127)-1),MID(B127,FIND("/",B127)+1,FIND(":",B127,FIND("/",B127))-FIND("/",B127)-1))),":",SUM(MID(B127,FIND(":",B127)+1,FIND("/",B127)-FIND(":",B127)-1),MID(B127,FIND(":",B127,FIND("/",B127))+1,FIND(")",B127)-FIND(":",B127,FIND("/",B127))-1)),MID(B127,(FIND(")",B127)+1),100)),CONCATENATE(MID(B127,1,IF(ISNUMBER(SEARCH(" ",B127)),FIND(" ",B127)-1,FIND("(",B127)-1))," ",(SUM(MID(B127,FIND("(",B127)+1,FIND(":",B127)-FIND("(",B127)-1),MID(B127,FIND("_",B127)+1,FIND(":",B127,FIND("_",B127))-FIND("_",B127)-1))),":",SUM(MID(B127,FIND(":",B127)+1,FIND("_",B127)-FIND(":",B127)-1),MID(B127,FIND(":",B127,FIND("_",B127))+1,FIND(")",B127)-FIND(":",B127,FIND("_",B127))-1)),MID(B127,(FIND(")",B127)+1),100))),B127))</f>
        <v>PC P-38:6</v>
      </c>
      <c r="D127" s="29">
        <f>'Enter Values'!B127</f>
        <v>0.26670611099392499</v>
      </c>
      <c r="E127" s="29">
        <f>'Enter Values'!C127</f>
        <v>0.35157997277702102</v>
      </c>
      <c r="F127" s="29">
        <f>'Enter Values'!D127</f>
        <v>0.22316764692354099</v>
      </c>
    </row>
    <row r="128" spans="1:6" x14ac:dyDescent="0.2">
      <c r="A128" s="26" t="s">
        <v>425</v>
      </c>
      <c r="B128" s="28" t="str">
        <f>'Enter Values'!A128</f>
        <v>LPC 17:0</v>
      </c>
      <c r="C128" s="26" t="str">
        <f>IF(ISNUMBER(SEARCH("-",B128)),IF(ISNUMBER(SEARCH("(",B128)),IF(ISNUMBER(SEARCH("/",B128)),CONCATENATE(MID(B128,1,IF(ISNUMBER(SEARCH(" ",B128)),FIND(" ",B128)-1,FIND("(",B128)-1))," ",MID(B128,IF(ISNUMBER(SEARCH("-",B128)),FIND("-",B128)-1),2),SUM(MID(B128,FIND("(",B128)+3,(FIND(":",B128)-(FIND("-",B128)+1))),MID(B128,FIND("/",B128)+1,(FIND(":",B128,FIND("/",B128))-FIND("/",B128)-1))),":",SUM(MID(B128,FIND(":",B128)+1,FIND("/",B128)-(FIND(":",B128)+1)),MID(B128,FIND(":",B128,FIND("/",B128))+1,FIND(")",B128)-FIND(":",B128,FIND("/",B128))-1))," ",MID(B128,(FIND(")",B128)+1),100)),CONCATENATE(MID(B128,1,IF(ISNUMBER(SEARCH(" ",B128)),FIND(" ",B128)-1,FIND("(",B128)-1))," ",MID(B128,IF(ISNUMBER(SEARCH("-",B128)),FIND("-",B128)-1),2),SUM(MID(B128,FIND("(",B128)+3,(FIND(":",B128)-(FIND("-",B128)+1))),MID(B128,FIND("_",B128)+1,(FIND(":",B128,FIND("_",B128))-FIND("_",B128)-1))),":",SUM(MID(B128,FIND(":",B128)+1,FIND("_",B128)-(FIND(":",B128)+1)),MID(B128,FIND(":",B128,FIND("_",B128))+1,FIND(")",B128)-FIND(":",B128,FIND("_",B128))-1))," ",MID(B128,(FIND(")",B128)+1),100))),B128),IF(ISNUMBER(SEARCH("(",B128)),IF(ISNUMBER(SEARCH("/",B128)),CONCATENATE(MID(B128,1,IF(ISNUMBER(SEARCH(" ",B128)),FIND(" ",B128)-1,FIND("(",B128)-1))," ",(SUM(MID(B128,FIND("(",B128)+1,FIND(":",B128)-FIND("(",B128)-1),MID(B128,FIND("/",B128)+1,FIND(":",B128,FIND("/",B128))-FIND("/",B128)-1))),":",SUM(MID(B128,FIND(":",B128)+1,FIND("/",B128)-FIND(":",B128)-1),MID(B128,FIND(":",B128,FIND("/",B128))+1,FIND(")",B128)-FIND(":",B128,FIND("/",B128))-1)),MID(B128,(FIND(")",B128)+1),100)),CONCATENATE(MID(B128,1,IF(ISNUMBER(SEARCH(" ",B128)),FIND(" ",B128)-1,FIND("(",B128)-1))," ",(SUM(MID(B128,FIND("(",B128)+1,FIND(":",B128)-FIND("(",B128)-1),MID(B128,FIND("_",B128)+1,FIND(":",B128,FIND("_",B128))-FIND("_",B128)-1))),":",SUM(MID(B128,FIND(":",B128)+1,FIND("_",B128)-FIND(":",B128)-1),MID(B128,FIND(":",B128,FIND("_",B128))+1,FIND(")",B128)-FIND(":",B128,FIND("_",B128))-1)),MID(B128,(FIND(")",B128)+1),100))),B128))</f>
        <v>LPC 17:0</v>
      </c>
      <c r="D128" s="29">
        <f>'Enter Values'!B128</f>
        <v>0.469360906128095</v>
      </c>
      <c r="E128" s="29">
        <f>'Enter Values'!C128</f>
        <v>0.519232778913302</v>
      </c>
      <c r="F128" s="29">
        <f>'Enter Values'!D128</f>
        <v>0.468498316459591</v>
      </c>
    </row>
    <row r="129" spans="1:6" x14ac:dyDescent="0.2">
      <c r="A129" s="26" t="s">
        <v>429</v>
      </c>
      <c r="B129" s="28" t="str">
        <f>'Enter Values'!A129</f>
        <v>SM d32:2</v>
      </c>
      <c r="C129" s="26" t="str">
        <f>IF(ISNUMBER(SEARCH("(",B129)),IF(ISNUMBER(SEARCH("/",B129)),CONCATENATE(MID(B129,1,IF(ISNUMBER(SEARCH(" ",B129)),FIND(" ",B129)-1,FIND("(",B129)-1))," ","d",(SUM(MID(B129,FIND("(",B129)+2,FIND(":",B129)-FIND("(",B129)-2),MID(B129,FIND("/",B129)+1,FIND(":",B129,FIND("/",B129))-FIND("/",B129)-1))),":",SUM(MID(B129,FIND(":",B129)+1,FIND("/",B129)-FIND(":",B129)-1),MID(B129,FIND(":",B129,FIND("/",B129))+1,FIND(")",B129)-FIND(":",B129,FIND("/",B129))-1)),MID(B129,(FIND(")",B129)+1),100)),CONCATENATE(MID(B129,1,IF(ISNUMBER(SEARCH(" ",B129)),FIND(" ",B129)-1,FIND("(",B129)-1))," ","d",(SUM(MID(B129,FIND("(",B129)+2,FIND(":",B129)-FIND("(",B129)-2),MID(B129,FIND("_",B129)+1,FIND(":",B129,FIND("_",B129))-FIND("_",B129)-1))),":",SUM(MID(B129,FIND(":",B129)+1,FIND("_",B129)-FIND(":",B129)-1),MID(B129,FIND(":",B129,FIND("_",B129))+1,FIND(")",B129)-FIND(":",B129,FIND("_",B129))-1)),MID(B129,(FIND(")",B129)+1),100))),CONCATENATE(MID(B129,1,FIND(" ",B129)-1)," ","d",MID(B129,FIND("d",B129)+1,100)))</f>
        <v>SM d32:2</v>
      </c>
      <c r="D129" s="29">
        <f>'Enter Values'!B129</f>
        <v>0.256919192830034</v>
      </c>
      <c r="E129" s="29">
        <f>'Enter Values'!C129</f>
        <v>0.2422533151016</v>
      </c>
      <c r="F129" s="29">
        <f>'Enter Values'!D129</f>
        <v>0.21711323844385699</v>
      </c>
    </row>
    <row r="130" spans="1:6" x14ac:dyDescent="0.2">
      <c r="A130" s="26" t="s">
        <v>427</v>
      </c>
      <c r="B130" s="28" t="str">
        <f>'Enter Values'!A130</f>
        <v>PC O-30:1</v>
      </c>
      <c r="C130" s="26" t="str">
        <f>IF(ISNUMBER(SEARCH("-",B130)),IF(ISNUMBER(SEARCH("(",B130)),IF(ISNUMBER(SEARCH("/",B130)),CONCATENATE(MID(B130,1,IF(ISNUMBER(SEARCH(" ",B130)),FIND(" ",B130)-1,FIND("(",B130)-1))," ",MID(B130,IF(ISNUMBER(SEARCH("-",B130)),FIND("-",B130)-1),2),SUM(MID(B130,FIND("(",B130)+3,(FIND(":",B130)-(FIND("-",B130)+1))),MID(B130,FIND("/",B130)+1,(FIND(":",B130,FIND("/",B130))-FIND("/",B130)-1))),":",SUM(MID(B130,FIND(":",B130)+1,FIND("/",B130)-(FIND(":",B130)+1)),MID(B130,FIND(":",B130,FIND("/",B130))+1,FIND(")",B130)-FIND(":",B130,FIND("/",B130))-1))," ",MID(B130,(FIND(")",B130)+1),100)),CONCATENATE(MID(B130,1,IF(ISNUMBER(SEARCH(" ",B130)),FIND(" ",B130)-1,FIND("(",B130)-1))," ",MID(B130,IF(ISNUMBER(SEARCH("-",B130)),FIND("-",B130)-1),2),SUM(MID(B130,FIND("(",B130)+3,(FIND(":",B130)-(FIND("-",B130)+1))),MID(B130,FIND("_",B130)+1,(FIND(":",B130,FIND("_",B130))-FIND("_",B130)-1))),":",SUM(MID(B130,FIND(":",B130)+1,FIND("_",B130)-(FIND(":",B130)+1)),MID(B130,FIND(":",B130,FIND("_",B130))+1,FIND(")",B130)-FIND(":",B130,FIND("_",B130))-1))," ",MID(B130,(FIND(")",B130)+1),100))),B130),IF(ISNUMBER(SEARCH("(",B130)),IF(ISNUMBER(SEARCH("/",B130)),CONCATENATE(MID(B130,1,IF(ISNUMBER(SEARCH(" ",B130)),FIND(" ",B130)-1,FIND("(",B130)-1))," ",(SUM(MID(B130,FIND("(",B130)+1,FIND(":",B130)-FIND("(",B130)-1),MID(B130,FIND("/",B130)+1,FIND(":",B130,FIND("/",B130))-FIND("/",B130)-1))),":",SUM(MID(B130,FIND(":",B130)+1,FIND("/",B130)-FIND(":",B130)-1),MID(B130,FIND(":",B130,FIND("/",B130))+1,FIND(")",B130)-FIND(":",B130,FIND("/",B130))-1)),MID(B130,(FIND(")",B130)+1),100)),CONCATENATE(MID(B130,1,IF(ISNUMBER(SEARCH(" ",B130)),FIND(" ",B130)-1,FIND("(",B130)-1))," ",(SUM(MID(B130,FIND("(",B130)+1,FIND(":",B130)-FIND("(",B130)-1),MID(B130,FIND("_",B130)+1,FIND(":",B130,FIND("_",B130))-FIND("_",B130)-1))),":",SUM(MID(B130,FIND(":",B130)+1,FIND("_",B130)-FIND(":",B130)-1),MID(B130,FIND(":",B130,FIND("_",B130))+1,FIND(")",B130)-FIND(":",B130,FIND("_",B130))-1)),MID(B130,(FIND(")",B130)+1),100))),B130))</f>
        <v>PC O-30:1</v>
      </c>
      <c r="D130" s="29">
        <f>'Enter Values'!B130</f>
        <v>0.20898466423613599</v>
      </c>
      <c r="E130" s="29">
        <f>'Enter Values'!C130</f>
        <v>0.23187722830937699</v>
      </c>
      <c r="F130" s="29">
        <f>'Enter Values'!D130</f>
        <v>0.12886309522043199</v>
      </c>
    </row>
    <row r="131" spans="1:6" x14ac:dyDescent="0.2">
      <c r="A131" s="26" t="s">
        <v>429</v>
      </c>
      <c r="B131" s="28" t="str">
        <f>'Enter Values'!A131</f>
        <v>SM d35:2</v>
      </c>
      <c r="C131" s="26" t="str">
        <f>IF(ISNUMBER(SEARCH("(",B131)),IF(ISNUMBER(SEARCH("/",B131)),CONCATENATE(MID(B131,1,IF(ISNUMBER(SEARCH(" ",B131)),FIND(" ",B131)-1,FIND("(",B131)-1))," ","d",(SUM(MID(B131,FIND("(",B131)+2,FIND(":",B131)-FIND("(",B131)-2),MID(B131,FIND("/",B131)+1,FIND(":",B131,FIND("/",B131))-FIND("/",B131)-1))),":",SUM(MID(B131,FIND(":",B131)+1,FIND("/",B131)-FIND(":",B131)-1),MID(B131,FIND(":",B131,FIND("/",B131))+1,FIND(")",B131)-FIND(":",B131,FIND("/",B131))-1)),MID(B131,(FIND(")",B131)+1),100)),CONCATENATE(MID(B131,1,IF(ISNUMBER(SEARCH(" ",B131)),FIND(" ",B131)-1,FIND("(",B131)-1))," ","d",(SUM(MID(B131,FIND("(",B131)+2,FIND(":",B131)-FIND("(",B131)-2),MID(B131,FIND("_",B131)+1,FIND(":",B131,FIND("_",B131))-FIND("_",B131)-1))),":",SUM(MID(B131,FIND(":",B131)+1,FIND("_",B131)-FIND(":",B131)-1),MID(B131,FIND(":",B131,FIND("_",B131))+1,FIND(")",B131)-FIND(":",B131,FIND("_",B131))-1)),MID(B131,(FIND(")",B131)+1),100))),CONCATENATE(MID(B131,1,FIND(" ",B131)-1)," ","d",MID(B131,FIND("d",B131)+1,100)))</f>
        <v>SM d35:2</v>
      </c>
      <c r="D131" s="29">
        <f>'Enter Values'!B131</f>
        <v>0.22478812484010299</v>
      </c>
      <c r="E131" s="29">
        <f>'Enter Values'!C131</f>
        <v>0.236159983464241</v>
      </c>
      <c r="F131" s="29">
        <f>'Enter Values'!D131</f>
        <v>0.19832891884842699</v>
      </c>
    </row>
    <row r="132" spans="1:6" x14ac:dyDescent="0.2">
      <c r="A132" s="26" t="s">
        <v>429</v>
      </c>
      <c r="B132" s="28" t="str">
        <f>'Enter Values'!A132</f>
        <v>SM d44:2</v>
      </c>
      <c r="C132" s="26" t="str">
        <f>IF(ISNUMBER(SEARCH("(",B132)),IF(ISNUMBER(SEARCH("/",B132)),CONCATENATE(MID(B132,1,IF(ISNUMBER(SEARCH(" ",B132)),FIND(" ",B132)-1,FIND("(",B132)-1))," ","d",(SUM(MID(B132,FIND("(",B132)+2,FIND(":",B132)-FIND("(",B132)-2),MID(B132,FIND("/",B132)+1,FIND(":",B132,FIND("/",B132))-FIND("/",B132)-1))),":",SUM(MID(B132,FIND(":",B132)+1,FIND("/",B132)-FIND(":",B132)-1),MID(B132,FIND(":",B132,FIND("/",B132))+1,FIND(")",B132)-FIND(":",B132,FIND("/",B132))-1)),MID(B132,(FIND(")",B132)+1),100)),CONCATENATE(MID(B132,1,IF(ISNUMBER(SEARCH(" ",B132)),FIND(" ",B132)-1,FIND("(",B132)-1))," ","d",(SUM(MID(B132,FIND("(",B132)+2,FIND(":",B132)-FIND("(",B132)-2),MID(B132,FIND("_",B132)+1,FIND(":",B132,FIND("_",B132))-FIND("_",B132)-1))),":",SUM(MID(B132,FIND(":",B132)+1,FIND("_",B132)-FIND(":",B132)-1),MID(B132,FIND(":",B132,FIND("_",B132))+1,FIND(")",B132)-FIND(":",B132,FIND("_",B132))-1)),MID(B132,(FIND(")",B132)+1),100))),CONCATENATE(MID(B132,1,FIND(" ",B132)-1)," ","d",MID(B132,FIND("d",B132)+1,100)))</f>
        <v>SM d44:2</v>
      </c>
      <c r="D132" s="29">
        <f>'Enter Values'!B132</f>
        <v>0.214742772799493</v>
      </c>
      <c r="E132" s="29">
        <f>'Enter Values'!C132</f>
        <v>0.17985874646230199</v>
      </c>
      <c r="F132" s="29">
        <f>'Enter Values'!D132</f>
        <v>0.14125150486503399</v>
      </c>
    </row>
    <row r="133" spans="1:6" x14ac:dyDescent="0.2">
      <c r="A133" s="26" t="s">
        <v>425</v>
      </c>
      <c r="B133" s="28" t="str">
        <f>'Enter Values'!A133</f>
        <v>LPC 22:5</v>
      </c>
      <c r="C133" s="26" t="str">
        <f>IF(ISNUMBER(SEARCH("-",B133)),IF(ISNUMBER(SEARCH("(",B133)),IF(ISNUMBER(SEARCH("/",B133)),CONCATENATE(MID(B133,1,IF(ISNUMBER(SEARCH(" ",B133)),FIND(" ",B133)-1,FIND("(",B133)-1))," ",MID(B133,IF(ISNUMBER(SEARCH("-",B133)),FIND("-",B133)-1),2),SUM(MID(B133,FIND("(",B133)+3,(FIND(":",B133)-(FIND("-",B133)+1))),MID(B133,FIND("/",B133)+1,(FIND(":",B133,FIND("/",B133))-FIND("/",B133)-1))),":",SUM(MID(B133,FIND(":",B133)+1,FIND("/",B133)-(FIND(":",B133)+1)),MID(B133,FIND(":",B133,FIND("/",B133))+1,FIND(")",B133)-FIND(":",B133,FIND("/",B133))-1))," ",MID(B133,(FIND(")",B133)+1),100)),CONCATENATE(MID(B133,1,IF(ISNUMBER(SEARCH(" ",B133)),FIND(" ",B133)-1,FIND("(",B133)-1))," ",MID(B133,IF(ISNUMBER(SEARCH("-",B133)),FIND("-",B133)-1),2),SUM(MID(B133,FIND("(",B133)+3,(FIND(":",B133)-(FIND("-",B133)+1))),MID(B133,FIND("_",B133)+1,(FIND(":",B133,FIND("_",B133))-FIND("_",B133)-1))),":",SUM(MID(B133,FIND(":",B133)+1,FIND("_",B133)-(FIND(":",B133)+1)),MID(B133,FIND(":",B133,FIND("_",B133))+1,FIND(")",B133)-FIND(":",B133,FIND("_",B133))-1))," ",MID(B133,(FIND(")",B133)+1),100))),B133),IF(ISNUMBER(SEARCH("(",B133)),IF(ISNUMBER(SEARCH("/",B133)),CONCATENATE(MID(B133,1,IF(ISNUMBER(SEARCH(" ",B133)),FIND(" ",B133)-1,FIND("(",B133)-1))," ",(SUM(MID(B133,FIND("(",B133)+1,FIND(":",B133)-FIND("(",B133)-1),MID(B133,FIND("/",B133)+1,FIND(":",B133,FIND("/",B133))-FIND("/",B133)-1))),":",SUM(MID(B133,FIND(":",B133)+1,FIND("/",B133)-FIND(":",B133)-1),MID(B133,FIND(":",B133,FIND("/",B133))+1,FIND(")",B133)-FIND(":",B133,FIND("/",B133))-1)),MID(B133,(FIND(")",B133)+1),100)),CONCATENATE(MID(B133,1,IF(ISNUMBER(SEARCH(" ",B133)),FIND(" ",B133)-1,FIND("(",B133)-1))," ",(SUM(MID(B133,FIND("(",B133)+1,FIND(":",B133)-FIND("(",B133)-1),MID(B133,FIND("_",B133)+1,FIND(":",B133,FIND("_",B133))-FIND("_",B133)-1))),":",SUM(MID(B133,FIND(":",B133)+1,FIND("_",B133)-FIND(":",B133)-1),MID(B133,FIND(":",B133,FIND("_",B133))+1,FIND(")",B133)-FIND(":",B133,FIND("_",B133))-1)),MID(B133,(FIND(")",B133)+1),100))),B133))</f>
        <v>LPC 22:5</v>
      </c>
      <c r="D133" s="29">
        <f>'Enter Values'!B133</f>
        <v>0.36208135347238901</v>
      </c>
      <c r="E133" s="29">
        <f>'Enter Values'!C133</f>
        <v>0.380377272101659</v>
      </c>
      <c r="F133" s="29">
        <f>'Enter Values'!D133</f>
        <v>0.39468948671426402</v>
      </c>
    </row>
    <row r="134" spans="1:6" x14ac:dyDescent="0.2">
      <c r="A134" s="26" t="s">
        <v>427</v>
      </c>
      <c r="B134" s="28" t="str">
        <f>'Enter Values'!A134</f>
        <v>PC 36:6</v>
      </c>
      <c r="C134" s="26" t="str">
        <f>IF(ISNUMBER(SEARCH("-",B134)),IF(ISNUMBER(SEARCH("(",B134)),IF(ISNUMBER(SEARCH("/",B134)),CONCATENATE(MID(B134,1,IF(ISNUMBER(SEARCH(" ",B134)),FIND(" ",B134)-1,FIND("(",B134)-1))," ",MID(B134,IF(ISNUMBER(SEARCH("-",B134)),FIND("-",B134)-1),2),SUM(MID(B134,FIND("(",B134)+3,(FIND(":",B134)-(FIND("-",B134)+1))),MID(B134,FIND("/",B134)+1,(FIND(":",B134,FIND("/",B134))-FIND("/",B134)-1))),":",SUM(MID(B134,FIND(":",B134)+1,FIND("/",B134)-(FIND(":",B134)+1)),MID(B134,FIND(":",B134,FIND("/",B134))+1,FIND(")",B134)-FIND(":",B134,FIND("/",B134))-1))," ",MID(B134,(FIND(")",B134)+1),100)),CONCATENATE(MID(B134,1,IF(ISNUMBER(SEARCH(" ",B134)),FIND(" ",B134)-1,FIND("(",B134)-1))," ",MID(B134,IF(ISNUMBER(SEARCH("-",B134)),FIND("-",B134)-1),2),SUM(MID(B134,FIND("(",B134)+3,(FIND(":",B134)-(FIND("-",B134)+1))),MID(B134,FIND("_",B134)+1,(FIND(":",B134,FIND("_",B134))-FIND("_",B134)-1))),":",SUM(MID(B134,FIND(":",B134)+1,FIND("_",B134)-(FIND(":",B134)+1)),MID(B134,FIND(":",B134,FIND("_",B134))+1,FIND(")",B134)-FIND(":",B134,FIND("_",B134))-1))," ",MID(B134,(FIND(")",B134)+1),100))),B134),IF(ISNUMBER(SEARCH("(",B134)),IF(ISNUMBER(SEARCH("/",B134)),CONCATENATE(MID(B134,1,IF(ISNUMBER(SEARCH(" ",B134)),FIND(" ",B134)-1,FIND("(",B134)-1))," ",(SUM(MID(B134,FIND("(",B134)+1,FIND(":",B134)-FIND("(",B134)-1),MID(B134,FIND("/",B134)+1,FIND(":",B134,FIND("/",B134))-FIND("/",B134)-1))),":",SUM(MID(B134,FIND(":",B134)+1,FIND("/",B134)-FIND(":",B134)-1),MID(B134,FIND(":",B134,FIND("/",B134))+1,FIND(")",B134)-FIND(":",B134,FIND("/",B134))-1)),MID(B134,(FIND(")",B134)+1),100)),CONCATENATE(MID(B134,1,IF(ISNUMBER(SEARCH(" ",B134)),FIND(" ",B134)-1,FIND("(",B134)-1))," ",(SUM(MID(B134,FIND("(",B134)+1,FIND(":",B134)-FIND("(",B134)-1),MID(B134,FIND("_",B134)+1,FIND(":",B134,FIND("_",B134))-FIND("_",B134)-1))),":",SUM(MID(B134,FIND(":",B134)+1,FIND("_",B134)-FIND(":",B134)-1),MID(B134,FIND(":",B134,FIND("_",B134))+1,FIND(")",B134)-FIND(":",B134,FIND("_",B134))-1)),MID(B134,(FIND(")",B134)+1),100))),B134))</f>
        <v>PC 36:6</v>
      </c>
      <c r="D134" s="29">
        <f>'Enter Values'!B134</f>
        <v>0.16855978033399699</v>
      </c>
      <c r="E134" s="29">
        <f>'Enter Values'!C134</f>
        <v>0.23940352079116001</v>
      </c>
      <c r="F134" s="29">
        <f>'Enter Values'!D134</f>
        <v>0.15245197990127199</v>
      </c>
    </row>
    <row r="135" spans="1:6" x14ac:dyDescent="0.2">
      <c r="A135" s="26" t="s">
        <v>482</v>
      </c>
      <c r="B135" s="28" t="str">
        <f>'Enter Values'!A135</f>
        <v>FFA 22:6</v>
      </c>
      <c r="C135" s="26" t="str">
        <f>IF(ISNUMBER(SEARCH("-",B135)),IF(ISNUMBER(SEARCH("(",B135)),IF(ISNUMBER(SEARCH("/",B135)),CONCATENATE(MID(B135,1,IF(ISNUMBER(SEARCH(" ",B135)),FIND(" ",B135)-1,FIND("(",B135)-1))," ",MID(B135,IF(ISNUMBER(SEARCH("-",B135)),FIND("-",B135)-1),2),SUM(MID(B135,FIND("(",B135)+3,(FIND(":",B135)-(FIND("-",B135)+1))),MID(B135,FIND("/",B135)+1,(FIND(":",B135,FIND("/",B135))-FIND("/",B135)-1))),":",SUM(MID(B135,FIND(":",B135)+1,FIND("/",B135)-(FIND(":",B135)+1)),MID(B135,FIND(":",B135,FIND("/",B135))+1,FIND(")",B135)-FIND(":",B135,FIND("/",B135))-1))," ",MID(B135,(FIND(")",B135)+1),100)),CONCATENATE(MID(B135,1,IF(ISNUMBER(SEARCH(" ",B135)),FIND(" ",B135)-1,FIND("(",B135)-1))," ",MID(B135,IF(ISNUMBER(SEARCH("-",B135)),FIND("-",B135)-1),2),SUM(MID(B135,FIND("(",B135)+3,(FIND(":",B135)-(FIND("-",B135)+1))),MID(B135,FIND("_",B135)+1,(FIND(":",B135,FIND("_",B135))-FIND("_",B135)-1))),":",SUM(MID(B135,FIND(":",B135)+1,FIND("_",B135)-(FIND(":",B135)+1)),MID(B135,FIND(":",B135,FIND("_",B135))+1,FIND(")",B135)-FIND(":",B135,FIND("_",B135))-1))," ",MID(B135,(FIND(")",B135)+1),100))),B135),IF(ISNUMBER(SEARCH("(",B135)),IF(ISNUMBER(SEARCH("/",B135)),CONCATENATE(MID(B135,1,IF(ISNUMBER(SEARCH(" ",B135)),FIND(" ",B135)-1,FIND("(",B135)-1))," ",(SUM(MID(B135,FIND("(",B135)+1,FIND(":",B135)-FIND("(",B135)-1),MID(B135,FIND("/",B135)+1,FIND(":",B135,FIND("/",B135))-FIND("/",B135)-1))),":",SUM(MID(B135,FIND(":",B135)+1,FIND("/",B135)-FIND(":",B135)-1),MID(B135,FIND(":",B135,FIND("/",B135))+1,FIND(")",B135)-FIND(":",B135,FIND("/",B135))-1)),MID(B135,(FIND(")",B135)+1),100)),CONCATENATE(MID(B135,1,IF(ISNUMBER(SEARCH(" ",B135)),FIND(" ",B135)-1,FIND("(",B135)-1))," ",(SUM(MID(B135,FIND("(",B135)+1,FIND(":",B135)-FIND("(",B135)-1),MID(B135,FIND("_",B135)+1,FIND(":",B135,FIND("_",B135))-FIND("_",B135)-1))),":",SUM(MID(B135,FIND(":",B135)+1,FIND("_",B135)-FIND(":",B135)-1),MID(B135,FIND(":",B135,FIND("_",B135))+1,FIND(")",B135)-FIND(":",B135,FIND("_",B135))-1)),MID(B135,(FIND(")",B135)+1),100))),B135))</f>
        <v>FFA 22:6</v>
      </c>
      <c r="D135" s="29">
        <f>'Enter Values'!B135</f>
        <v>0.24492009254792699</v>
      </c>
      <c r="E135" s="29">
        <f>'Enter Values'!C135</f>
        <v>0.26405781145537399</v>
      </c>
      <c r="F135" s="29">
        <f>'Enter Values'!D135</f>
        <v>0.25380998139863498</v>
      </c>
    </row>
    <row r="136" spans="1:6" x14ac:dyDescent="0.2">
      <c r="A136" s="26" t="s">
        <v>425</v>
      </c>
      <c r="B136" s="28" t="str">
        <f>'Enter Values'!A136</f>
        <v>LPC 14:0</v>
      </c>
      <c r="C136" s="26" t="str">
        <f>IF(ISNUMBER(SEARCH("-",B136)),IF(ISNUMBER(SEARCH("(",B136)),IF(ISNUMBER(SEARCH("/",B136)),CONCATENATE(MID(B136,1,IF(ISNUMBER(SEARCH(" ",B136)),FIND(" ",B136)-1,FIND("(",B136)-1))," ",MID(B136,IF(ISNUMBER(SEARCH("-",B136)),FIND("-",B136)-1),2),SUM(MID(B136,FIND("(",B136)+3,(FIND(":",B136)-(FIND("-",B136)+1))),MID(B136,FIND("/",B136)+1,(FIND(":",B136,FIND("/",B136))-FIND("/",B136)-1))),":",SUM(MID(B136,FIND(":",B136)+1,FIND("/",B136)-(FIND(":",B136)+1)),MID(B136,FIND(":",B136,FIND("/",B136))+1,FIND(")",B136)-FIND(":",B136,FIND("/",B136))-1))," ",MID(B136,(FIND(")",B136)+1),100)),CONCATENATE(MID(B136,1,IF(ISNUMBER(SEARCH(" ",B136)),FIND(" ",B136)-1,FIND("(",B136)-1))," ",MID(B136,IF(ISNUMBER(SEARCH("-",B136)),FIND("-",B136)-1),2),SUM(MID(B136,FIND("(",B136)+3,(FIND(":",B136)-(FIND("-",B136)+1))),MID(B136,FIND("_",B136)+1,(FIND(":",B136,FIND("_",B136))-FIND("_",B136)-1))),":",SUM(MID(B136,FIND(":",B136)+1,FIND("_",B136)-(FIND(":",B136)+1)),MID(B136,FIND(":",B136,FIND("_",B136))+1,FIND(")",B136)-FIND(":",B136,FIND("_",B136))-1))," ",MID(B136,(FIND(")",B136)+1),100))),B136),IF(ISNUMBER(SEARCH("(",B136)),IF(ISNUMBER(SEARCH("/",B136)),CONCATENATE(MID(B136,1,IF(ISNUMBER(SEARCH(" ",B136)),FIND(" ",B136)-1,FIND("(",B136)-1))," ",(SUM(MID(B136,FIND("(",B136)+1,FIND(":",B136)-FIND("(",B136)-1),MID(B136,FIND("/",B136)+1,FIND(":",B136,FIND("/",B136))-FIND("/",B136)-1))),":",SUM(MID(B136,FIND(":",B136)+1,FIND("/",B136)-FIND(":",B136)-1),MID(B136,FIND(":",B136,FIND("/",B136))+1,FIND(")",B136)-FIND(":",B136,FIND("/",B136))-1)),MID(B136,(FIND(")",B136)+1),100)),CONCATENATE(MID(B136,1,IF(ISNUMBER(SEARCH(" ",B136)),FIND(" ",B136)-1,FIND("(",B136)-1))," ",(SUM(MID(B136,FIND("(",B136)+1,FIND(":",B136)-FIND("(",B136)-1),MID(B136,FIND("_",B136)+1,FIND(":",B136,FIND("_",B136))-FIND("_",B136)-1))),":",SUM(MID(B136,FIND(":",B136)+1,FIND("_",B136)-FIND(":",B136)-1),MID(B136,FIND(":",B136,FIND("_",B136))+1,FIND(")",B136)-FIND(":",B136,FIND("_",B136))-1)),MID(B136,(FIND(")",B136)+1),100))),B136))</f>
        <v>LPC 14:0</v>
      </c>
      <c r="D136" s="29">
        <f>'Enter Values'!B136</f>
        <v>0.320460034512634</v>
      </c>
      <c r="E136" s="29">
        <f>'Enter Values'!C136</f>
        <v>0.32758929901378803</v>
      </c>
      <c r="F136" s="29">
        <f>'Enter Values'!D136</f>
        <v>0.31993608297223203</v>
      </c>
    </row>
    <row r="137" spans="1:6" x14ac:dyDescent="0.2">
      <c r="A137" s="26" t="s">
        <v>481</v>
      </c>
      <c r="B137" s="28" t="str">
        <f>'Enter Values'!A137</f>
        <v>CDCA</v>
      </c>
      <c r="C137" s="26" t="str">
        <f>B137</f>
        <v>CDCA</v>
      </c>
      <c r="D137" s="29">
        <f>'Enter Values'!B137</f>
        <v>0.229220623179861</v>
      </c>
      <c r="E137" s="29">
        <f>'Enter Values'!C137</f>
        <v>0.22451857592869701</v>
      </c>
      <c r="F137" s="29">
        <f>'Enter Values'!D137</f>
        <v>0.236673566054281</v>
      </c>
    </row>
    <row r="138" spans="1:6" x14ac:dyDescent="0.2">
      <c r="A138" s="26" t="s">
        <v>481</v>
      </c>
      <c r="B138" s="28" t="str">
        <f>'Enter Values'!A138</f>
        <v>DCA</v>
      </c>
      <c r="C138" s="26" t="str">
        <f>B138</f>
        <v>DCA</v>
      </c>
      <c r="D138" s="29">
        <f>'Enter Values'!B138</f>
        <v>0.229220623179861</v>
      </c>
      <c r="E138" s="29">
        <f>'Enter Values'!C138</f>
        <v>0.22451857592869701</v>
      </c>
      <c r="F138" s="29">
        <f>'Enter Values'!D138</f>
        <v>0.236673566054281</v>
      </c>
    </row>
    <row r="139" spans="1:6" x14ac:dyDescent="0.2">
      <c r="A139" s="26" t="s">
        <v>481</v>
      </c>
      <c r="B139" s="28" t="str">
        <f>'Enter Values'!A139</f>
        <v>UDCA</v>
      </c>
      <c r="C139" s="26" t="str">
        <f>B139</f>
        <v>UDCA</v>
      </c>
      <c r="D139" s="29">
        <f>'Enter Values'!B139</f>
        <v>0.229220623179861</v>
      </c>
      <c r="E139" s="29">
        <f>'Enter Values'!C139</f>
        <v>0.22451857592869701</v>
      </c>
      <c r="F139" s="29">
        <f>'Enter Values'!D139</f>
        <v>0.236673566054281</v>
      </c>
    </row>
    <row r="140" spans="1:6" x14ac:dyDescent="0.2">
      <c r="A140" s="26" t="s">
        <v>425</v>
      </c>
      <c r="B140" s="28" t="str">
        <f>'Enter Values'!A140</f>
        <v>LPC O-16:0</v>
      </c>
      <c r="C140" s="26" t="str">
        <f>IF(ISNUMBER(SEARCH("-",B140)),IF(ISNUMBER(SEARCH("(",B140)),IF(ISNUMBER(SEARCH("/",B140)),CONCATENATE(MID(B140,1,IF(ISNUMBER(SEARCH(" ",B140)),FIND(" ",B140)-1,FIND("(",B140)-1))," ",MID(B140,IF(ISNUMBER(SEARCH("-",B140)),FIND("-",B140)-1),2),SUM(MID(B140,FIND("(",B140)+3,(FIND(":",B140)-(FIND("-",B140)+1))),MID(B140,FIND("/",B140)+1,(FIND(":",B140,FIND("/",B140))-FIND("/",B140)-1))),":",SUM(MID(B140,FIND(":",B140)+1,FIND("/",B140)-(FIND(":",B140)+1)),MID(B140,FIND(":",B140,FIND("/",B140))+1,FIND(")",B140)-FIND(":",B140,FIND("/",B140))-1))," ",MID(B140,(FIND(")",B140)+1),100)),CONCATENATE(MID(B140,1,IF(ISNUMBER(SEARCH(" ",B140)),FIND(" ",B140)-1,FIND("(",B140)-1))," ",MID(B140,IF(ISNUMBER(SEARCH("-",B140)),FIND("-",B140)-1),2),SUM(MID(B140,FIND("(",B140)+3,(FIND(":",B140)-(FIND("-",B140)+1))),MID(B140,FIND("_",B140)+1,(FIND(":",B140,FIND("_",B140))-FIND("_",B140)-1))),":",SUM(MID(B140,FIND(":",B140)+1,FIND("_",B140)-(FIND(":",B140)+1)),MID(B140,FIND(":",B140,FIND("_",B140))+1,FIND(")",B140)-FIND(":",B140,FIND("_",B140))-1))," ",MID(B140,(FIND(")",B140)+1),100))),B140),IF(ISNUMBER(SEARCH("(",B140)),IF(ISNUMBER(SEARCH("/",B140)),CONCATENATE(MID(B140,1,IF(ISNUMBER(SEARCH(" ",B140)),FIND(" ",B140)-1,FIND("(",B140)-1))," ",(SUM(MID(B140,FIND("(",B140)+1,FIND(":",B140)-FIND("(",B140)-1),MID(B140,FIND("/",B140)+1,FIND(":",B140,FIND("/",B140))-FIND("/",B140)-1))),":",SUM(MID(B140,FIND(":",B140)+1,FIND("/",B140)-FIND(":",B140)-1),MID(B140,FIND(":",B140,FIND("/",B140))+1,FIND(")",B140)-FIND(":",B140,FIND("/",B140))-1)),MID(B140,(FIND(")",B140)+1),100)),CONCATENATE(MID(B140,1,IF(ISNUMBER(SEARCH(" ",B140)),FIND(" ",B140)-1,FIND("(",B140)-1))," ",(SUM(MID(B140,FIND("(",B140)+1,FIND(":",B140)-FIND("(",B140)-1),MID(B140,FIND("_",B140)+1,FIND(":",B140,FIND("_",B140))-FIND("_",B140)-1))),":",SUM(MID(B140,FIND(":",B140)+1,FIND("_",B140)-FIND(":",B140)-1),MID(B140,FIND(":",B140,FIND("_",B140))+1,FIND(")",B140)-FIND(":",B140,FIND("_",B140))-1)),MID(B140,(FIND(")",B140)+1),100))),B140))</f>
        <v>LPC O-16:0</v>
      </c>
      <c r="D140" s="29">
        <f>'Enter Values'!B140</f>
        <v>0.27880942737109399</v>
      </c>
      <c r="E140" s="29">
        <f>'Enter Values'!C140</f>
        <v>0.29305728538921699</v>
      </c>
      <c r="F140" s="29">
        <f>'Enter Values'!D140</f>
        <v>0.29947210441113498</v>
      </c>
    </row>
    <row r="141" spans="1:6" x14ac:dyDescent="0.2">
      <c r="A141" s="26" t="s">
        <v>425</v>
      </c>
      <c r="B141" s="28" t="str">
        <f>'Enter Values'!A141</f>
        <v>LPC 15:0</v>
      </c>
      <c r="C141" s="26" t="str">
        <f>IF(ISNUMBER(SEARCH("-",B141)),IF(ISNUMBER(SEARCH("(",B141)),IF(ISNUMBER(SEARCH("/",B141)),CONCATENATE(MID(B141,1,IF(ISNUMBER(SEARCH(" ",B141)),FIND(" ",B141)-1,FIND("(",B141)-1))," ",MID(B141,IF(ISNUMBER(SEARCH("-",B141)),FIND("-",B141)-1),2),SUM(MID(B141,FIND("(",B141)+3,(FIND(":",B141)-(FIND("-",B141)+1))),MID(B141,FIND("/",B141)+1,(FIND(":",B141,FIND("/",B141))-FIND("/",B141)-1))),":",SUM(MID(B141,FIND(":",B141)+1,FIND("/",B141)-(FIND(":",B141)+1)),MID(B141,FIND(":",B141,FIND("/",B141))+1,FIND(")",B141)-FIND(":",B141,FIND("/",B141))-1))," ",MID(B141,(FIND(")",B141)+1),100)),CONCATENATE(MID(B141,1,IF(ISNUMBER(SEARCH(" ",B141)),FIND(" ",B141)-1,FIND("(",B141)-1))," ",MID(B141,IF(ISNUMBER(SEARCH("-",B141)),FIND("-",B141)-1),2),SUM(MID(B141,FIND("(",B141)+3,(FIND(":",B141)-(FIND("-",B141)+1))),MID(B141,FIND("_",B141)+1,(FIND(":",B141,FIND("_",B141))-FIND("_",B141)-1))),":",SUM(MID(B141,FIND(":",B141)+1,FIND("_",B141)-(FIND(":",B141)+1)),MID(B141,FIND(":",B141,FIND("_",B141))+1,FIND(")",B141)-FIND(":",B141,FIND("_",B141))-1))," ",MID(B141,(FIND(")",B141)+1),100))),B141),IF(ISNUMBER(SEARCH("(",B141)),IF(ISNUMBER(SEARCH("/",B141)),CONCATENATE(MID(B141,1,IF(ISNUMBER(SEARCH(" ",B141)),FIND(" ",B141)-1,FIND("(",B141)-1))," ",(SUM(MID(B141,FIND("(",B141)+1,FIND(":",B141)-FIND("(",B141)-1),MID(B141,FIND("/",B141)+1,FIND(":",B141,FIND("/",B141))-FIND("/",B141)-1))),":",SUM(MID(B141,FIND(":",B141)+1,FIND("/",B141)-FIND(":",B141)-1),MID(B141,FIND(":",B141,FIND("/",B141))+1,FIND(")",B141)-FIND(":",B141,FIND("/",B141))-1)),MID(B141,(FIND(")",B141)+1),100)),CONCATENATE(MID(B141,1,IF(ISNUMBER(SEARCH(" ",B141)),FIND(" ",B141)-1,FIND("(",B141)-1))," ",(SUM(MID(B141,FIND("(",B141)+1,FIND(":",B141)-FIND("(",B141)-1),MID(B141,FIND("_",B141)+1,FIND(":",B141,FIND("_",B141))-FIND("_",B141)-1))),":",SUM(MID(B141,FIND(":",B141)+1,FIND("_",B141)-FIND(":",B141)-1),MID(B141,FIND(":",B141,FIND("_",B141))+1,FIND(")",B141)-FIND(":",B141,FIND("_",B141))-1)),MID(B141,(FIND(")",B141)+1),100))),B141))</f>
        <v>LPC 15:0</v>
      </c>
      <c r="D141" s="29">
        <f>'Enter Values'!B141</f>
        <v>0.25087638957995401</v>
      </c>
      <c r="E141" s="29">
        <f>'Enter Values'!C141</f>
        <v>0.231873373624776</v>
      </c>
      <c r="F141" s="29">
        <f>'Enter Values'!D141</f>
        <v>0.19376646663542099</v>
      </c>
    </row>
    <row r="142" spans="1:6" x14ac:dyDescent="0.2">
      <c r="A142" s="26" t="s">
        <v>482</v>
      </c>
      <c r="B142" s="28" t="str">
        <f>'Enter Values'!A142</f>
        <v>FFA 20:4</v>
      </c>
      <c r="C142" s="26" t="str">
        <f>IF(ISNUMBER(SEARCH("-",B142)),IF(ISNUMBER(SEARCH("(",B142)),IF(ISNUMBER(SEARCH("/",B142)),CONCATENATE(MID(B142,1,IF(ISNUMBER(SEARCH(" ",B142)),FIND(" ",B142)-1,FIND("(",B142)-1))," ",MID(B142,IF(ISNUMBER(SEARCH("-",B142)),FIND("-",B142)-1),2),SUM(MID(B142,FIND("(",B142)+3,(FIND(":",B142)-(FIND("-",B142)+1))),MID(B142,FIND("/",B142)+1,(FIND(":",B142,FIND("/",B142))-FIND("/",B142)-1))),":",SUM(MID(B142,FIND(":",B142)+1,FIND("/",B142)-(FIND(":",B142)+1)),MID(B142,FIND(":",B142,FIND("/",B142))+1,FIND(")",B142)-FIND(":",B142,FIND("/",B142))-1))," ",MID(B142,(FIND(")",B142)+1),100)),CONCATENATE(MID(B142,1,IF(ISNUMBER(SEARCH(" ",B142)),FIND(" ",B142)-1,FIND("(",B142)-1))," ",MID(B142,IF(ISNUMBER(SEARCH("-",B142)),FIND("-",B142)-1),2),SUM(MID(B142,FIND("(",B142)+3,(FIND(":",B142)-(FIND("-",B142)+1))),MID(B142,FIND("_",B142)+1,(FIND(":",B142,FIND("_",B142))-FIND("_",B142)-1))),":",SUM(MID(B142,FIND(":",B142)+1,FIND("_",B142)-(FIND(":",B142)+1)),MID(B142,FIND(":",B142,FIND("_",B142))+1,FIND(")",B142)-FIND(":",B142,FIND("_",B142))-1))," ",MID(B142,(FIND(")",B142)+1),100))),B142),IF(ISNUMBER(SEARCH("(",B142)),IF(ISNUMBER(SEARCH("/",B142)),CONCATENATE(MID(B142,1,IF(ISNUMBER(SEARCH(" ",B142)),FIND(" ",B142)-1,FIND("(",B142)-1))," ",(SUM(MID(B142,FIND("(",B142)+1,FIND(":",B142)-FIND("(",B142)-1),MID(B142,FIND("/",B142)+1,FIND(":",B142,FIND("/",B142))-FIND("/",B142)-1))),":",SUM(MID(B142,FIND(":",B142)+1,FIND("/",B142)-FIND(":",B142)-1),MID(B142,FIND(":",B142,FIND("/",B142))+1,FIND(")",B142)-FIND(":",B142,FIND("/",B142))-1)),MID(B142,(FIND(")",B142)+1),100)),CONCATENATE(MID(B142,1,IF(ISNUMBER(SEARCH(" ",B142)),FIND(" ",B142)-1,FIND("(",B142)-1))," ",(SUM(MID(B142,FIND("(",B142)+1,FIND(":",B142)-FIND("(",B142)-1),MID(B142,FIND("_",B142)+1,FIND(":",B142,FIND("_",B142))-FIND("_",B142)-1))),":",SUM(MID(B142,FIND(":",B142)+1,FIND("_",B142)-FIND(":",B142)-1),MID(B142,FIND(":",B142,FIND("_",B142))+1,FIND(")",B142)-FIND(":",B142,FIND("_",B142))-1)),MID(B142,(FIND(")",B142)+1),100))),B142))</f>
        <v>FFA 20:4</v>
      </c>
      <c r="D142" s="29">
        <f>'Enter Values'!B142</f>
        <v>0.172578835468368</v>
      </c>
      <c r="E142" s="29">
        <f>'Enter Values'!C142</f>
        <v>0.19346262869899999</v>
      </c>
      <c r="F142" s="29">
        <f>'Enter Values'!D142</f>
        <v>0.21611433951435199</v>
      </c>
    </row>
    <row r="143" spans="1:6" x14ac:dyDescent="0.2">
      <c r="A143" s="26" t="s">
        <v>425</v>
      </c>
      <c r="B143" s="28" t="str">
        <f>'Enter Values'!A143</f>
        <v>LPC 20:5</v>
      </c>
      <c r="C143" s="26" t="str">
        <f>IF(ISNUMBER(SEARCH("-",B143)),IF(ISNUMBER(SEARCH("(",B143)),IF(ISNUMBER(SEARCH("/",B143)),CONCATENATE(MID(B143,1,IF(ISNUMBER(SEARCH(" ",B143)),FIND(" ",B143)-1,FIND("(",B143)-1))," ",MID(B143,IF(ISNUMBER(SEARCH("-",B143)),FIND("-",B143)-1),2),SUM(MID(B143,FIND("(",B143)+3,(FIND(":",B143)-(FIND("-",B143)+1))),MID(B143,FIND("/",B143)+1,(FIND(":",B143,FIND("/",B143))-FIND("/",B143)-1))),":",SUM(MID(B143,FIND(":",B143)+1,FIND("/",B143)-(FIND(":",B143)+1)),MID(B143,FIND(":",B143,FIND("/",B143))+1,FIND(")",B143)-FIND(":",B143,FIND("/",B143))-1))," ",MID(B143,(FIND(")",B143)+1),100)),CONCATENATE(MID(B143,1,IF(ISNUMBER(SEARCH(" ",B143)),FIND(" ",B143)-1,FIND("(",B143)-1))," ",MID(B143,IF(ISNUMBER(SEARCH("-",B143)),FIND("-",B143)-1),2),SUM(MID(B143,FIND("(",B143)+3,(FIND(":",B143)-(FIND("-",B143)+1))),MID(B143,FIND("_",B143)+1,(FIND(":",B143,FIND("_",B143))-FIND("_",B143)-1))),":",SUM(MID(B143,FIND(":",B143)+1,FIND("_",B143)-(FIND(":",B143)+1)),MID(B143,FIND(":",B143,FIND("_",B143))+1,FIND(")",B143)-FIND(":",B143,FIND("_",B143))-1))," ",MID(B143,(FIND(")",B143)+1),100))),B143),IF(ISNUMBER(SEARCH("(",B143)),IF(ISNUMBER(SEARCH("/",B143)),CONCATENATE(MID(B143,1,IF(ISNUMBER(SEARCH(" ",B143)),FIND(" ",B143)-1,FIND("(",B143)-1))," ",(SUM(MID(B143,FIND("(",B143)+1,FIND(":",B143)-FIND("(",B143)-1),MID(B143,FIND("/",B143)+1,FIND(":",B143,FIND("/",B143))-FIND("/",B143)-1))),":",SUM(MID(B143,FIND(":",B143)+1,FIND("/",B143)-FIND(":",B143)-1),MID(B143,FIND(":",B143,FIND("/",B143))+1,FIND(")",B143)-FIND(":",B143,FIND("/",B143))-1)),MID(B143,(FIND(")",B143)+1),100)),CONCATENATE(MID(B143,1,IF(ISNUMBER(SEARCH(" ",B143)),FIND(" ",B143)-1,FIND("(",B143)-1))," ",(SUM(MID(B143,FIND("(",B143)+1,FIND(":",B143)-FIND("(",B143)-1),MID(B143,FIND("_",B143)+1,FIND(":",B143,FIND("_",B143))-FIND("_",B143)-1))),":",SUM(MID(B143,FIND(":",B143)+1,FIND("_",B143)-FIND(":",B143)-1),MID(B143,FIND(":",B143,FIND("_",B143))+1,FIND(")",B143)-FIND(":",B143,FIND("_",B143))-1)),MID(B143,(FIND(")",B143)+1),100))),B143))</f>
        <v>LPC 20:5</v>
      </c>
      <c r="D143" s="29">
        <f>'Enter Values'!B143</f>
        <v>0.19273164453928501</v>
      </c>
      <c r="E143" s="29">
        <f>'Enter Values'!C143</f>
        <v>0.18645510207494301</v>
      </c>
      <c r="F143" s="29">
        <f>'Enter Values'!D143</f>
        <v>0.18962750194807601</v>
      </c>
    </row>
    <row r="144" spans="1:6" x14ac:dyDescent="0.2">
      <c r="A144" s="26" t="s">
        <v>427</v>
      </c>
      <c r="B144" s="28" t="str">
        <f>'Enter Values'!A144</f>
        <v>PC P-36:5</v>
      </c>
      <c r="C144" s="26" t="str">
        <f>IF(ISNUMBER(SEARCH("-",B144)),IF(ISNUMBER(SEARCH("(",B144)),IF(ISNUMBER(SEARCH("/",B144)),CONCATENATE(MID(B144,1,IF(ISNUMBER(SEARCH(" ",B144)),FIND(" ",B144)-1,FIND("(",B144)-1))," ",MID(B144,IF(ISNUMBER(SEARCH("-",B144)),FIND("-",B144)-1),2),SUM(MID(B144,FIND("(",B144)+3,(FIND(":",B144)-(FIND("-",B144)+1))),MID(B144,FIND("/",B144)+1,(FIND(":",B144,FIND("/",B144))-FIND("/",B144)-1))),":",SUM(MID(B144,FIND(":",B144)+1,FIND("/",B144)-(FIND(":",B144)+1)),MID(B144,FIND(":",B144,FIND("/",B144))+1,FIND(")",B144)-FIND(":",B144,FIND("/",B144))-1))," ",MID(B144,(FIND(")",B144)+1),100)),CONCATENATE(MID(B144,1,IF(ISNUMBER(SEARCH(" ",B144)),FIND(" ",B144)-1,FIND("(",B144)-1))," ",MID(B144,IF(ISNUMBER(SEARCH("-",B144)),FIND("-",B144)-1),2),SUM(MID(B144,FIND("(",B144)+3,(FIND(":",B144)-(FIND("-",B144)+1))),MID(B144,FIND("_",B144)+1,(FIND(":",B144,FIND("_",B144))-FIND("_",B144)-1))),":",SUM(MID(B144,FIND(":",B144)+1,FIND("_",B144)-(FIND(":",B144)+1)),MID(B144,FIND(":",B144,FIND("_",B144))+1,FIND(")",B144)-FIND(":",B144,FIND("_",B144))-1))," ",MID(B144,(FIND(")",B144)+1),100))),B144),IF(ISNUMBER(SEARCH("(",B144)),IF(ISNUMBER(SEARCH("/",B144)),CONCATENATE(MID(B144,1,IF(ISNUMBER(SEARCH(" ",B144)),FIND(" ",B144)-1,FIND("(",B144)-1))," ",(SUM(MID(B144,FIND("(",B144)+1,FIND(":",B144)-FIND("(",B144)-1),MID(B144,FIND("/",B144)+1,FIND(":",B144,FIND("/",B144))-FIND("/",B144)-1))),":",SUM(MID(B144,FIND(":",B144)+1,FIND("/",B144)-FIND(":",B144)-1),MID(B144,FIND(":",B144,FIND("/",B144))+1,FIND(")",B144)-FIND(":",B144,FIND("/",B144))-1)),MID(B144,(FIND(")",B144)+1),100)),CONCATENATE(MID(B144,1,IF(ISNUMBER(SEARCH(" ",B144)),FIND(" ",B144)-1,FIND("(",B144)-1))," ",(SUM(MID(B144,FIND("(",B144)+1,FIND(":",B144)-FIND("(",B144)-1),MID(B144,FIND("_",B144)+1,FIND(":",B144,FIND("_",B144))-FIND("_",B144)-1))),":",SUM(MID(B144,FIND(":",B144)+1,FIND("_",B144)-FIND(":",B144)-1),MID(B144,FIND(":",B144,FIND("_",B144))+1,FIND(")",B144)-FIND(":",B144,FIND("_",B144))-1)),MID(B144,(FIND(")",B144)+1),100))),B144))</f>
        <v>PC P-36:5</v>
      </c>
      <c r="D144" s="29">
        <f>'Enter Values'!B144</f>
        <v>7.5307581200852403E-2</v>
      </c>
      <c r="E144" s="29">
        <f>'Enter Values'!C144</f>
        <v>8.4640803557457497E-2</v>
      </c>
      <c r="F144" s="29">
        <f>'Enter Values'!D144</f>
        <v>8.7493134739818998E-2</v>
      </c>
    </row>
    <row r="145" spans="1:6" x14ac:dyDescent="0.2">
      <c r="A145" s="26" t="s">
        <v>425</v>
      </c>
      <c r="B145" s="28" t="str">
        <f>'Enter Values'!A145</f>
        <v>LPC P-16:0</v>
      </c>
      <c r="C145" s="26" t="str">
        <f>IF(ISNUMBER(SEARCH("-",B145)),IF(ISNUMBER(SEARCH("(",B145)),IF(ISNUMBER(SEARCH("/",B145)),CONCATENATE(MID(B145,1,IF(ISNUMBER(SEARCH(" ",B145)),FIND(" ",B145)-1,FIND("(",B145)-1))," ",MID(B145,IF(ISNUMBER(SEARCH("-",B145)),FIND("-",B145)-1),2),SUM(MID(B145,FIND("(",B145)+3,(FIND(":",B145)-(FIND("-",B145)+1))),MID(B145,FIND("/",B145)+1,(FIND(":",B145,FIND("/",B145))-FIND("/",B145)-1))),":",SUM(MID(B145,FIND(":",B145)+1,FIND("/",B145)-(FIND(":",B145)+1)),MID(B145,FIND(":",B145,FIND("/",B145))+1,FIND(")",B145)-FIND(":",B145,FIND("/",B145))-1))," ",MID(B145,(FIND(")",B145)+1),100)),CONCATENATE(MID(B145,1,IF(ISNUMBER(SEARCH(" ",B145)),FIND(" ",B145)-1,FIND("(",B145)-1))," ",MID(B145,IF(ISNUMBER(SEARCH("-",B145)),FIND("-",B145)-1),2),SUM(MID(B145,FIND("(",B145)+3,(FIND(":",B145)-(FIND("-",B145)+1))),MID(B145,FIND("_",B145)+1,(FIND(":",B145,FIND("_",B145))-FIND("_",B145)-1))),":",SUM(MID(B145,FIND(":",B145)+1,FIND("_",B145)-(FIND(":",B145)+1)),MID(B145,FIND(":",B145,FIND("_",B145))+1,FIND(")",B145)-FIND(":",B145,FIND("_",B145))-1))," ",MID(B145,(FIND(")",B145)+1),100))),B145),IF(ISNUMBER(SEARCH("(",B145)),IF(ISNUMBER(SEARCH("/",B145)),CONCATENATE(MID(B145,1,IF(ISNUMBER(SEARCH(" ",B145)),FIND(" ",B145)-1,FIND("(",B145)-1))," ",(SUM(MID(B145,FIND("(",B145)+1,FIND(":",B145)-FIND("(",B145)-1),MID(B145,FIND("/",B145)+1,FIND(":",B145,FIND("/",B145))-FIND("/",B145)-1))),":",SUM(MID(B145,FIND(":",B145)+1,FIND("/",B145)-FIND(":",B145)-1),MID(B145,FIND(":",B145,FIND("/",B145))+1,FIND(")",B145)-FIND(":",B145,FIND("/",B145))-1)),MID(B145,(FIND(")",B145)+1),100)),CONCATENATE(MID(B145,1,IF(ISNUMBER(SEARCH(" ",B145)),FIND(" ",B145)-1,FIND("(",B145)-1))," ",(SUM(MID(B145,FIND("(",B145)+1,FIND(":",B145)-FIND("(",B145)-1),MID(B145,FIND("_",B145)+1,FIND(":",B145,FIND("_",B145))-FIND("_",B145)-1))),":",SUM(MID(B145,FIND(":",B145)+1,FIND("_",B145)-FIND(":",B145)-1),MID(B145,FIND(":",B145,FIND("_",B145))+1,FIND(")",B145)-FIND(":",B145,FIND("_",B145))-1)),MID(B145,(FIND(")",B145)+1),100))),B145))</f>
        <v>LPC P-16:0</v>
      </c>
      <c r="D145" s="29">
        <f>'Enter Values'!B145</f>
        <v>0.13763036348260599</v>
      </c>
      <c r="E145" s="29">
        <f>'Enter Values'!C145</f>
        <v>0.12948043397447201</v>
      </c>
      <c r="F145" s="29">
        <f>'Enter Values'!D145</f>
        <v>0.12481546326834</v>
      </c>
    </row>
    <row r="146" spans="1:6" x14ac:dyDescent="0.2">
      <c r="A146" s="26" t="s">
        <v>425</v>
      </c>
      <c r="B146" s="28" t="str">
        <f>'Enter Values'!A146</f>
        <v>LPC 20:2</v>
      </c>
      <c r="C146" s="26" t="str">
        <f>IF(ISNUMBER(SEARCH("-",B146)),IF(ISNUMBER(SEARCH("(",B146)),IF(ISNUMBER(SEARCH("/",B146)),CONCATENATE(MID(B146,1,IF(ISNUMBER(SEARCH(" ",B146)),FIND(" ",B146)-1,FIND("(",B146)-1))," ",MID(B146,IF(ISNUMBER(SEARCH("-",B146)),FIND("-",B146)-1),2),SUM(MID(B146,FIND("(",B146)+3,(FIND(":",B146)-(FIND("-",B146)+1))),MID(B146,FIND("/",B146)+1,(FIND(":",B146,FIND("/",B146))-FIND("/",B146)-1))),":",SUM(MID(B146,FIND(":",B146)+1,FIND("/",B146)-(FIND(":",B146)+1)),MID(B146,FIND(":",B146,FIND("/",B146))+1,FIND(")",B146)-FIND(":",B146,FIND("/",B146))-1))," ",MID(B146,(FIND(")",B146)+1),100)),CONCATENATE(MID(B146,1,IF(ISNUMBER(SEARCH(" ",B146)),FIND(" ",B146)-1,FIND("(",B146)-1))," ",MID(B146,IF(ISNUMBER(SEARCH("-",B146)),FIND("-",B146)-1),2),SUM(MID(B146,FIND("(",B146)+3,(FIND(":",B146)-(FIND("-",B146)+1))),MID(B146,FIND("_",B146)+1,(FIND(":",B146,FIND("_",B146))-FIND("_",B146)-1))),":",SUM(MID(B146,FIND(":",B146)+1,FIND("_",B146)-(FIND(":",B146)+1)),MID(B146,FIND(":",B146,FIND("_",B146))+1,FIND(")",B146)-FIND(":",B146,FIND("_",B146))-1))," ",MID(B146,(FIND(")",B146)+1),100))),B146),IF(ISNUMBER(SEARCH("(",B146)),IF(ISNUMBER(SEARCH("/",B146)),CONCATENATE(MID(B146,1,IF(ISNUMBER(SEARCH(" ",B146)),FIND(" ",B146)-1,FIND("(",B146)-1))," ",(SUM(MID(B146,FIND("(",B146)+1,FIND(":",B146)-FIND("(",B146)-1),MID(B146,FIND("/",B146)+1,FIND(":",B146,FIND("/",B146))-FIND("/",B146)-1))),":",SUM(MID(B146,FIND(":",B146)+1,FIND("/",B146)-FIND(":",B146)-1),MID(B146,FIND(":",B146,FIND("/",B146))+1,FIND(")",B146)-FIND(":",B146,FIND("/",B146))-1)),MID(B146,(FIND(")",B146)+1),100)),CONCATENATE(MID(B146,1,IF(ISNUMBER(SEARCH(" ",B146)),FIND(" ",B146)-1,FIND("(",B146)-1))," ",(SUM(MID(B146,FIND("(",B146)+1,FIND(":",B146)-FIND("(",B146)-1),MID(B146,FIND("_",B146)+1,FIND(":",B146,FIND("_",B146))-FIND("_",B146)-1))),":",SUM(MID(B146,FIND(":",B146)+1,FIND("_",B146)-FIND(":",B146)-1),MID(B146,FIND(":",B146,FIND("_",B146))+1,FIND(")",B146)-FIND(":",B146,FIND("_",B146))-1)),MID(B146,(FIND(")",B146)+1),100))),B146))</f>
        <v>LPC 20:2</v>
      </c>
      <c r="D146" s="29">
        <f>'Enter Values'!B146</f>
        <v>0.12596455661230099</v>
      </c>
      <c r="E146" s="29">
        <f>'Enter Values'!C146</f>
        <v>0.132322354161655</v>
      </c>
      <c r="F146" s="29">
        <f>'Enter Values'!D146</f>
        <v>0.13303500211341099</v>
      </c>
    </row>
    <row r="147" spans="1:6" x14ac:dyDescent="0.2">
      <c r="A147" s="26" t="s">
        <v>425</v>
      </c>
      <c r="B147" s="28" t="str">
        <f>'Enter Values'!A147</f>
        <v>LPC 22:4</v>
      </c>
      <c r="C147" s="26" t="str">
        <f>IF(ISNUMBER(SEARCH("-",B147)),IF(ISNUMBER(SEARCH("(",B147)),IF(ISNUMBER(SEARCH("/",B147)),CONCATENATE(MID(B147,1,IF(ISNUMBER(SEARCH(" ",B147)),FIND(" ",B147)-1,FIND("(",B147)-1))," ",MID(B147,IF(ISNUMBER(SEARCH("-",B147)),FIND("-",B147)-1),2),SUM(MID(B147,FIND("(",B147)+3,(FIND(":",B147)-(FIND("-",B147)+1))),MID(B147,FIND("/",B147)+1,(FIND(":",B147,FIND("/",B147))-FIND("/",B147)-1))),":",SUM(MID(B147,FIND(":",B147)+1,FIND("/",B147)-(FIND(":",B147)+1)),MID(B147,FIND(":",B147,FIND("/",B147))+1,FIND(")",B147)-FIND(":",B147,FIND("/",B147))-1))," ",MID(B147,(FIND(")",B147)+1),100)),CONCATENATE(MID(B147,1,IF(ISNUMBER(SEARCH(" ",B147)),FIND(" ",B147)-1,FIND("(",B147)-1))," ",MID(B147,IF(ISNUMBER(SEARCH("-",B147)),FIND("-",B147)-1),2),SUM(MID(B147,FIND("(",B147)+3,(FIND(":",B147)-(FIND("-",B147)+1))),MID(B147,FIND("_",B147)+1,(FIND(":",B147,FIND("_",B147))-FIND("_",B147)-1))),":",SUM(MID(B147,FIND(":",B147)+1,FIND("_",B147)-(FIND(":",B147)+1)),MID(B147,FIND(":",B147,FIND("_",B147))+1,FIND(")",B147)-FIND(":",B147,FIND("_",B147))-1))," ",MID(B147,(FIND(")",B147)+1),100))),B147),IF(ISNUMBER(SEARCH("(",B147)),IF(ISNUMBER(SEARCH("/",B147)),CONCATENATE(MID(B147,1,IF(ISNUMBER(SEARCH(" ",B147)),FIND(" ",B147)-1,FIND("(",B147)-1))," ",(SUM(MID(B147,FIND("(",B147)+1,FIND(":",B147)-FIND("(",B147)-1),MID(B147,FIND("/",B147)+1,FIND(":",B147,FIND("/",B147))-FIND("/",B147)-1))),":",SUM(MID(B147,FIND(":",B147)+1,FIND("/",B147)-FIND(":",B147)-1),MID(B147,FIND(":",B147,FIND("/",B147))+1,FIND(")",B147)-FIND(":",B147,FIND("/",B147))-1)),MID(B147,(FIND(")",B147)+1),100)),CONCATENATE(MID(B147,1,IF(ISNUMBER(SEARCH(" ",B147)),FIND(" ",B147)-1,FIND("(",B147)-1))," ",(SUM(MID(B147,FIND("(",B147)+1,FIND(":",B147)-FIND("(",B147)-1),MID(B147,FIND("_",B147)+1,FIND(":",B147,FIND("_",B147))-FIND("_",B147)-1))),":",SUM(MID(B147,FIND(":",B147)+1,FIND("_",B147)-FIND(":",B147)-1),MID(B147,FIND(":",B147,FIND("_",B147))+1,FIND(")",B147)-FIND(":",B147,FIND("_",B147))-1)),MID(B147,(FIND(")",B147)+1),100))),B147))</f>
        <v>LPC 22:4</v>
      </c>
      <c r="D147" s="29">
        <f>'Enter Values'!B147</f>
        <v>0.10207695657322</v>
      </c>
      <c r="E147" s="29">
        <f>'Enter Values'!C147</f>
        <v>0.101063784780151</v>
      </c>
      <c r="F147" s="29">
        <f>'Enter Values'!D147</f>
        <v>0.14003625003234799</v>
      </c>
    </row>
    <row r="148" spans="1:6" x14ac:dyDescent="0.2">
      <c r="A148" s="26" t="s">
        <v>427</v>
      </c>
      <c r="B148" s="28" t="str">
        <f>'Enter Values'!A148</f>
        <v>PC 34:5</v>
      </c>
      <c r="C148" s="26" t="str">
        <f>IF(ISNUMBER(SEARCH("-",B148)),IF(ISNUMBER(SEARCH("(",B148)),IF(ISNUMBER(SEARCH("/",B148)),CONCATENATE(MID(B148,1,IF(ISNUMBER(SEARCH(" ",B148)),FIND(" ",B148)-1,FIND("(",B148)-1))," ",MID(B148,IF(ISNUMBER(SEARCH("-",B148)),FIND("-",B148)-1),2),SUM(MID(B148,FIND("(",B148)+3,(FIND(":",B148)-(FIND("-",B148)+1))),MID(B148,FIND("/",B148)+1,(FIND(":",B148,FIND("/",B148))-FIND("/",B148)-1))),":",SUM(MID(B148,FIND(":",B148)+1,FIND("/",B148)-(FIND(":",B148)+1)),MID(B148,FIND(":",B148,FIND("/",B148))+1,FIND(")",B148)-FIND(":",B148,FIND("/",B148))-1))," ",MID(B148,(FIND(")",B148)+1),100)),CONCATENATE(MID(B148,1,IF(ISNUMBER(SEARCH(" ",B148)),FIND(" ",B148)-1,FIND("(",B148)-1))," ",MID(B148,IF(ISNUMBER(SEARCH("-",B148)),FIND("-",B148)-1),2),SUM(MID(B148,FIND("(",B148)+3,(FIND(":",B148)-(FIND("-",B148)+1))),MID(B148,FIND("_",B148)+1,(FIND(":",B148,FIND("_",B148))-FIND("_",B148)-1))),":",SUM(MID(B148,FIND(":",B148)+1,FIND("_",B148)-(FIND(":",B148)+1)),MID(B148,FIND(":",B148,FIND("_",B148))+1,FIND(")",B148)-FIND(":",B148,FIND("_",B148))-1))," ",MID(B148,(FIND(")",B148)+1),100))),B148),IF(ISNUMBER(SEARCH("(",B148)),IF(ISNUMBER(SEARCH("/",B148)),CONCATENATE(MID(B148,1,IF(ISNUMBER(SEARCH(" ",B148)),FIND(" ",B148)-1,FIND("(",B148)-1))," ",(SUM(MID(B148,FIND("(",B148)+1,FIND(":",B148)-FIND("(",B148)-1),MID(B148,FIND("/",B148)+1,FIND(":",B148,FIND("/",B148))-FIND("/",B148)-1))),":",SUM(MID(B148,FIND(":",B148)+1,FIND("/",B148)-FIND(":",B148)-1),MID(B148,FIND(":",B148,FIND("/",B148))+1,FIND(")",B148)-FIND(":",B148,FIND("/",B148))-1)),MID(B148,(FIND(")",B148)+1),100)),CONCATENATE(MID(B148,1,IF(ISNUMBER(SEARCH(" ",B148)),FIND(" ",B148)-1,FIND("(",B148)-1))," ",(SUM(MID(B148,FIND("(",B148)+1,FIND(":",B148)-FIND("(",B148)-1),MID(B148,FIND("_",B148)+1,FIND(":",B148,FIND("_",B148))-FIND("_",B148)-1))),":",SUM(MID(B148,FIND(":",B148)+1,FIND("_",B148)-FIND(":",B148)-1),MID(B148,FIND(":",B148,FIND("_",B148))+1,FIND(")",B148)-FIND(":",B148,FIND("_",B148))-1)),MID(B148,(FIND(")",B148)+1),100))),B148))</f>
        <v>PC 34:5</v>
      </c>
      <c r="D148" s="29">
        <f>'Enter Values'!B148</f>
        <v>4.8565161303773897E-2</v>
      </c>
      <c r="E148" s="29">
        <f>'Enter Values'!C148</f>
        <v>5.7470537441462001E-2</v>
      </c>
      <c r="F148" s="29">
        <f>'Enter Values'!D148</f>
        <v>3.5788719466506802E-2</v>
      </c>
    </row>
    <row r="149" spans="1:6" x14ac:dyDescent="0.2">
      <c r="A149" s="26" t="s">
        <v>425</v>
      </c>
      <c r="B149" s="28" t="str">
        <f>'Enter Values'!A149</f>
        <v>LPC 20:1</v>
      </c>
      <c r="C149" s="26" t="str">
        <f>IF(ISNUMBER(SEARCH("-",B149)),IF(ISNUMBER(SEARCH("(",B149)),IF(ISNUMBER(SEARCH("/",B149)),CONCATENATE(MID(B149,1,IF(ISNUMBER(SEARCH(" ",B149)),FIND(" ",B149)-1,FIND("(",B149)-1))," ",MID(B149,IF(ISNUMBER(SEARCH("-",B149)),FIND("-",B149)-1),2),SUM(MID(B149,FIND("(",B149)+3,(FIND(":",B149)-(FIND("-",B149)+1))),MID(B149,FIND("/",B149)+1,(FIND(":",B149,FIND("/",B149))-FIND("/",B149)-1))),":",SUM(MID(B149,FIND(":",B149)+1,FIND("/",B149)-(FIND(":",B149)+1)),MID(B149,FIND(":",B149,FIND("/",B149))+1,FIND(")",B149)-FIND(":",B149,FIND("/",B149))-1))," ",MID(B149,(FIND(")",B149)+1),100)),CONCATENATE(MID(B149,1,IF(ISNUMBER(SEARCH(" ",B149)),FIND(" ",B149)-1,FIND("(",B149)-1))," ",MID(B149,IF(ISNUMBER(SEARCH("-",B149)),FIND("-",B149)-1),2),SUM(MID(B149,FIND("(",B149)+3,(FIND(":",B149)-(FIND("-",B149)+1))),MID(B149,FIND("_",B149)+1,(FIND(":",B149,FIND("_",B149))-FIND("_",B149)-1))),":",SUM(MID(B149,FIND(":",B149)+1,FIND("_",B149)-(FIND(":",B149)+1)),MID(B149,FIND(":",B149,FIND("_",B149))+1,FIND(")",B149)-FIND(":",B149,FIND("_",B149))-1))," ",MID(B149,(FIND(")",B149)+1),100))),B149),IF(ISNUMBER(SEARCH("(",B149)),IF(ISNUMBER(SEARCH("/",B149)),CONCATENATE(MID(B149,1,IF(ISNUMBER(SEARCH(" ",B149)),FIND(" ",B149)-1,FIND("(",B149)-1))," ",(SUM(MID(B149,FIND("(",B149)+1,FIND(":",B149)-FIND("(",B149)-1),MID(B149,FIND("/",B149)+1,FIND(":",B149,FIND("/",B149))-FIND("/",B149)-1))),":",SUM(MID(B149,FIND(":",B149)+1,FIND("/",B149)-FIND(":",B149)-1),MID(B149,FIND(":",B149,FIND("/",B149))+1,FIND(")",B149)-FIND(":",B149,FIND("/",B149))-1)),MID(B149,(FIND(")",B149)+1),100)),CONCATENATE(MID(B149,1,IF(ISNUMBER(SEARCH(" ",B149)),FIND(" ",B149)-1,FIND("(",B149)-1))," ",(SUM(MID(B149,FIND("(",B149)+1,FIND(":",B149)-FIND("(",B149)-1),MID(B149,FIND("_",B149)+1,FIND(":",B149,FIND("_",B149))-FIND("_",B149)-1))),":",SUM(MID(B149,FIND(":",B149)+1,FIND("_",B149)-FIND(":",B149)-1),MID(B149,FIND(":",B149,FIND("_",B149))+1,FIND(")",B149)-FIND(":",B149,FIND("_",B149))-1)),MID(B149,(FIND(")",B149)+1),100))),B149))</f>
        <v>LPC 20:1</v>
      </c>
      <c r="D149" s="29">
        <f>'Enter Values'!B149</f>
        <v>9.0994528705853894E-2</v>
      </c>
      <c r="E149" s="29">
        <f>'Enter Values'!C149</f>
        <v>0.138389703943433</v>
      </c>
      <c r="F149" s="29">
        <f>'Enter Values'!D149</f>
        <v>0.129396613941612</v>
      </c>
    </row>
    <row r="150" spans="1:6" x14ac:dyDescent="0.2">
      <c r="A150" s="26" t="s">
        <v>429</v>
      </c>
      <c r="B150" s="28" t="str">
        <f>'Enter Values'!A150</f>
        <v>SM d31:1</v>
      </c>
      <c r="C150" s="26" t="str">
        <f>IF(ISNUMBER(SEARCH("(",B150)),IF(ISNUMBER(SEARCH("/",B150)),CONCATENATE(MID(B150,1,IF(ISNUMBER(SEARCH(" ",B150)),FIND(" ",B150)-1,FIND("(",B150)-1))," ","d",(SUM(MID(B150,FIND("(",B150)+2,FIND(":",B150)-FIND("(",B150)-2),MID(B150,FIND("/",B150)+1,FIND(":",B150,FIND("/",B150))-FIND("/",B150)-1))),":",SUM(MID(B150,FIND(":",B150)+1,FIND("/",B150)-FIND(":",B150)-1),MID(B150,FIND(":",B150,FIND("/",B150))+1,FIND(")",B150)-FIND(":",B150,FIND("/",B150))-1)),MID(B150,(FIND(")",B150)+1),100)),CONCATENATE(MID(B150,1,IF(ISNUMBER(SEARCH(" ",B150)),FIND(" ",B150)-1,FIND("(",B150)-1))," ","d",(SUM(MID(B150,FIND("(",B150)+2,FIND(":",B150)-FIND("(",B150)-2),MID(B150,FIND("_",B150)+1,FIND(":",B150,FIND("_",B150))-FIND("_",B150)-1))),":",SUM(MID(B150,FIND(":",B150)+1,FIND("_",B150)-FIND(":",B150)-1),MID(B150,FIND(":",B150,FIND("_",B150))+1,FIND(")",B150)-FIND(":",B150,FIND("_",B150))-1)),MID(B150,(FIND(")",B150)+1),100))),CONCATENATE(MID(B150,1,FIND(" ",B150)-1)," ","d",MID(B150,FIND("d",B150)+1,100)))</f>
        <v>SM d31:1</v>
      </c>
      <c r="D150" s="29">
        <f>'Enter Values'!B150</f>
        <v>4.5923810478297501E-2</v>
      </c>
      <c r="E150" s="29">
        <f>'Enter Values'!C150</f>
        <v>4.2568798295544899E-2</v>
      </c>
      <c r="F150" s="29">
        <f>'Enter Values'!D150</f>
        <v>3.9451297620867798E-2</v>
      </c>
    </row>
    <row r="151" spans="1:6" x14ac:dyDescent="0.2">
      <c r="A151" s="26" t="s">
        <v>425</v>
      </c>
      <c r="B151" s="28" t="str">
        <f>'Enter Values'!A151</f>
        <v>LPC 17:1</v>
      </c>
      <c r="C151" s="26" t="str">
        <f>IF(ISNUMBER(SEARCH("-",B151)),IF(ISNUMBER(SEARCH("(",B151)),IF(ISNUMBER(SEARCH("/",B151)),CONCATENATE(MID(B151,1,IF(ISNUMBER(SEARCH(" ",B151)),FIND(" ",B151)-1,FIND("(",B151)-1))," ",MID(B151,IF(ISNUMBER(SEARCH("-",B151)),FIND("-",B151)-1),2),SUM(MID(B151,FIND("(",B151)+3,(FIND(":",B151)-(FIND("-",B151)+1))),MID(B151,FIND("/",B151)+1,(FIND(":",B151,FIND("/",B151))-FIND("/",B151)-1))),":",SUM(MID(B151,FIND(":",B151)+1,FIND("/",B151)-(FIND(":",B151)+1)),MID(B151,FIND(":",B151,FIND("/",B151))+1,FIND(")",B151)-FIND(":",B151,FIND("/",B151))-1))," ",MID(B151,(FIND(")",B151)+1),100)),CONCATENATE(MID(B151,1,IF(ISNUMBER(SEARCH(" ",B151)),FIND(" ",B151)-1,FIND("(",B151)-1))," ",MID(B151,IF(ISNUMBER(SEARCH("-",B151)),FIND("-",B151)-1),2),SUM(MID(B151,FIND("(",B151)+3,(FIND(":",B151)-(FIND("-",B151)+1))),MID(B151,FIND("_",B151)+1,(FIND(":",B151,FIND("_",B151))-FIND("_",B151)-1))),":",SUM(MID(B151,FIND(":",B151)+1,FIND("_",B151)-(FIND(":",B151)+1)),MID(B151,FIND(":",B151,FIND("_",B151))+1,FIND(")",B151)-FIND(":",B151,FIND("_",B151))-1))," ",MID(B151,(FIND(")",B151)+1),100))),B151),IF(ISNUMBER(SEARCH("(",B151)),IF(ISNUMBER(SEARCH("/",B151)),CONCATENATE(MID(B151,1,IF(ISNUMBER(SEARCH(" ",B151)),FIND(" ",B151)-1,FIND("(",B151)-1))," ",(SUM(MID(B151,FIND("(",B151)+1,FIND(":",B151)-FIND("(",B151)-1),MID(B151,FIND("/",B151)+1,FIND(":",B151,FIND("/",B151))-FIND("/",B151)-1))),":",SUM(MID(B151,FIND(":",B151)+1,FIND("/",B151)-FIND(":",B151)-1),MID(B151,FIND(":",B151,FIND("/",B151))+1,FIND(")",B151)-FIND(":",B151,FIND("/",B151))-1)),MID(B151,(FIND(")",B151)+1),100)),CONCATENATE(MID(B151,1,IF(ISNUMBER(SEARCH(" ",B151)),FIND(" ",B151)-1,FIND("(",B151)-1))," ",(SUM(MID(B151,FIND("(",B151)+1,FIND(":",B151)-FIND("(",B151)-1),MID(B151,FIND("_",B151)+1,FIND(":",B151,FIND("_",B151))-FIND("_",B151)-1))),":",SUM(MID(B151,FIND(":",B151)+1,FIND("_",B151)-FIND(":",B151)-1),MID(B151,FIND(":",B151,FIND("_",B151))+1,FIND(")",B151)-FIND(":",B151,FIND("_",B151))-1)),MID(B151,(FIND(")",B151)+1),100))),B151))</f>
        <v>LPC 17:1</v>
      </c>
      <c r="D151" s="29">
        <f>'Enter Values'!B151</f>
        <v>7.1608870730323307E-2</v>
      </c>
      <c r="E151" s="29">
        <f>'Enter Values'!C151</f>
        <v>7.32476225819024E-2</v>
      </c>
      <c r="F151" s="29">
        <f>'Enter Values'!D151</f>
        <v>9.4404383243381601E-2</v>
      </c>
    </row>
    <row r="152" spans="1:6" x14ac:dyDescent="0.2">
      <c r="A152" s="26" t="s">
        <v>425</v>
      </c>
      <c r="B152" s="28" t="str">
        <f>'Enter Values'!A152</f>
        <v>LPC 20:0</v>
      </c>
      <c r="C152" s="26" t="str">
        <f>IF(ISNUMBER(SEARCH("-",B152)),IF(ISNUMBER(SEARCH("(",B152)),IF(ISNUMBER(SEARCH("/",B152)),CONCATENATE(MID(B152,1,IF(ISNUMBER(SEARCH(" ",B152)),FIND(" ",B152)-1,FIND("(",B152)-1))," ",MID(B152,IF(ISNUMBER(SEARCH("-",B152)),FIND("-",B152)-1),2),SUM(MID(B152,FIND("(",B152)+3,(FIND(":",B152)-(FIND("-",B152)+1))),MID(B152,FIND("/",B152)+1,(FIND(":",B152,FIND("/",B152))-FIND("/",B152)-1))),":",SUM(MID(B152,FIND(":",B152)+1,FIND("/",B152)-(FIND(":",B152)+1)),MID(B152,FIND(":",B152,FIND("/",B152))+1,FIND(")",B152)-FIND(":",B152,FIND("/",B152))-1))," ",MID(B152,(FIND(")",B152)+1),100)),CONCATENATE(MID(B152,1,IF(ISNUMBER(SEARCH(" ",B152)),FIND(" ",B152)-1,FIND("(",B152)-1))," ",MID(B152,IF(ISNUMBER(SEARCH("-",B152)),FIND("-",B152)-1),2),SUM(MID(B152,FIND("(",B152)+3,(FIND(":",B152)-(FIND("-",B152)+1))),MID(B152,FIND("_",B152)+1,(FIND(":",B152,FIND("_",B152))-FIND("_",B152)-1))),":",SUM(MID(B152,FIND(":",B152)+1,FIND("_",B152)-(FIND(":",B152)+1)),MID(B152,FIND(":",B152,FIND("_",B152))+1,FIND(")",B152)-FIND(":",B152,FIND("_",B152))-1))," ",MID(B152,(FIND(")",B152)+1),100))),B152),IF(ISNUMBER(SEARCH("(",B152)),IF(ISNUMBER(SEARCH("/",B152)),CONCATENATE(MID(B152,1,IF(ISNUMBER(SEARCH(" ",B152)),FIND(" ",B152)-1,FIND("(",B152)-1))," ",(SUM(MID(B152,FIND("(",B152)+1,FIND(":",B152)-FIND("(",B152)-1),MID(B152,FIND("/",B152)+1,FIND(":",B152,FIND("/",B152))-FIND("/",B152)-1))),":",SUM(MID(B152,FIND(":",B152)+1,FIND("/",B152)-FIND(":",B152)-1),MID(B152,FIND(":",B152,FIND("/",B152))+1,FIND(")",B152)-FIND(":",B152,FIND("/",B152))-1)),MID(B152,(FIND(")",B152)+1),100)),CONCATENATE(MID(B152,1,IF(ISNUMBER(SEARCH(" ",B152)),FIND(" ",B152)-1,FIND("(",B152)-1))," ",(SUM(MID(B152,FIND("(",B152)+1,FIND(":",B152)-FIND("(",B152)-1),MID(B152,FIND("_",B152)+1,FIND(":",B152,FIND("_",B152))-FIND("_",B152)-1))),":",SUM(MID(B152,FIND(":",B152)+1,FIND("_",B152)-FIND(":",B152)-1),MID(B152,FIND(":",B152,FIND("_",B152))+1,FIND(")",B152)-FIND(":",B152,FIND("_",B152))-1)),MID(B152,(FIND(")",B152)+1),100))),B152))</f>
        <v>LPC 20:0</v>
      </c>
      <c r="D152" s="29">
        <f>'Enter Values'!B152</f>
        <v>6.5590546812369394E-2</v>
      </c>
      <c r="E152" s="29">
        <f>'Enter Values'!C152</f>
        <v>6.7523121701424799E-2</v>
      </c>
      <c r="F152" s="29">
        <f>'Enter Values'!D152</f>
        <v>6.2008387510459201E-2</v>
      </c>
    </row>
    <row r="153" spans="1:6" x14ac:dyDescent="0.2">
      <c r="A153" s="26" t="s">
        <v>481</v>
      </c>
      <c r="B153" s="28" t="str">
        <f>'Enter Values'!A153</f>
        <v>CA</v>
      </c>
      <c r="C153" s="26" t="str">
        <f>B153</f>
        <v>CA</v>
      </c>
      <c r="D153" s="29">
        <f>'Enter Values'!B153</f>
        <v>4.22588036661843E-2</v>
      </c>
      <c r="E153" s="29">
        <f>'Enter Values'!C153</f>
        <v>3.36988204163731E-2</v>
      </c>
      <c r="F153" s="29">
        <f>'Enter Values'!D153</f>
        <v>4.4294561244450699E-2</v>
      </c>
    </row>
    <row r="154" spans="1:6" x14ac:dyDescent="0.2">
      <c r="A154" s="26" t="s">
        <v>425</v>
      </c>
      <c r="B154" s="28" t="str">
        <f>'Enter Values'!A154</f>
        <v>LPC 24:0</v>
      </c>
      <c r="C154" s="26" t="str">
        <f>IF(ISNUMBER(SEARCH("-",B154)),IF(ISNUMBER(SEARCH("(",B154)),IF(ISNUMBER(SEARCH("/",B154)),CONCATENATE(MID(B154,1,IF(ISNUMBER(SEARCH(" ",B154)),FIND(" ",B154)-1,FIND("(",B154)-1))," ",MID(B154,IF(ISNUMBER(SEARCH("-",B154)),FIND("-",B154)-1),2),SUM(MID(B154,FIND("(",B154)+3,(FIND(":",B154)-(FIND("-",B154)+1))),MID(B154,FIND("/",B154)+1,(FIND(":",B154,FIND("/",B154))-FIND("/",B154)-1))),":",SUM(MID(B154,FIND(":",B154)+1,FIND("/",B154)-(FIND(":",B154)+1)),MID(B154,FIND(":",B154,FIND("/",B154))+1,FIND(")",B154)-FIND(":",B154,FIND("/",B154))-1))," ",MID(B154,(FIND(")",B154)+1),100)),CONCATENATE(MID(B154,1,IF(ISNUMBER(SEARCH(" ",B154)),FIND(" ",B154)-1,FIND("(",B154)-1))," ",MID(B154,IF(ISNUMBER(SEARCH("-",B154)),FIND("-",B154)-1),2),SUM(MID(B154,FIND("(",B154)+3,(FIND(":",B154)-(FIND("-",B154)+1))),MID(B154,FIND("_",B154)+1,(FIND(":",B154,FIND("_",B154))-FIND("_",B154)-1))),":",SUM(MID(B154,FIND(":",B154)+1,FIND("_",B154)-(FIND(":",B154)+1)),MID(B154,FIND(":",B154,FIND("_",B154))+1,FIND(")",B154)-FIND(":",B154,FIND("_",B154))-1))," ",MID(B154,(FIND(")",B154)+1),100))),B154),IF(ISNUMBER(SEARCH("(",B154)),IF(ISNUMBER(SEARCH("/",B154)),CONCATENATE(MID(B154,1,IF(ISNUMBER(SEARCH(" ",B154)),FIND(" ",B154)-1,FIND("(",B154)-1))," ",(SUM(MID(B154,FIND("(",B154)+1,FIND(":",B154)-FIND("(",B154)-1),MID(B154,FIND("/",B154)+1,FIND(":",B154,FIND("/",B154))-FIND("/",B154)-1))),":",SUM(MID(B154,FIND(":",B154)+1,FIND("/",B154)-FIND(":",B154)-1),MID(B154,FIND(":",B154,FIND("/",B154))+1,FIND(")",B154)-FIND(":",B154,FIND("/",B154))-1)),MID(B154,(FIND(")",B154)+1),100)),CONCATENATE(MID(B154,1,IF(ISNUMBER(SEARCH(" ",B154)),FIND(" ",B154)-1,FIND("(",B154)-1))," ",(SUM(MID(B154,FIND("(",B154)+1,FIND(":",B154)-FIND("(",B154)-1),MID(B154,FIND("_",B154)+1,FIND(":",B154,FIND("_",B154))-FIND("_",B154)-1))),":",SUM(MID(B154,FIND(":",B154)+1,FIND("_",B154)-FIND(":",B154)-1),MID(B154,FIND(":",B154,FIND("_",B154))+1,FIND(")",B154)-FIND(":",B154,FIND("_",B154))-1)),MID(B154,(FIND(")",B154)+1),100))),B154))</f>
        <v>LPC 24:0</v>
      </c>
      <c r="D154" s="29">
        <f>'Enter Values'!B154</f>
        <v>5.1059206248249001E-2</v>
      </c>
      <c r="E154" s="29">
        <f>'Enter Values'!C154</f>
        <v>4.7157799719327702E-2</v>
      </c>
      <c r="F154" s="29">
        <f>'Enter Values'!D154</f>
        <v>4.9600852840453298E-2</v>
      </c>
    </row>
    <row r="155" spans="1:6" x14ac:dyDescent="0.2">
      <c r="A155" s="26" t="s">
        <v>483</v>
      </c>
      <c r="B155" s="28" t="str">
        <f>'Enter Values'!A155</f>
        <v>HexCer d42:1</v>
      </c>
      <c r="C155" s="26" t="str">
        <f>IF(ISNUMBER(SEARCH("(",B155)),IF(ISNUMBER(SEARCH("/",B155)),CONCATENATE(MID(B155,1,IF(ISNUMBER(SEARCH(" ",B155)),FIND(" ",B155)-1,FIND("(",B155)-1))," ","d",(SUM(MID(B155,FIND("(",B155)+2,FIND(":",B155)-FIND("(",B155)-2),MID(B155,FIND("/",B155)+1,FIND(":",B155,FIND("/",B155))-FIND("/",B155)-1))),":",SUM(MID(B155,FIND(":",B155)+1,FIND("/",B155)-FIND(":",B155)-1),MID(B155,FIND(":",B155,FIND("/",B155))+1,FIND(")",B155)-FIND(":",B155,FIND("/",B155))-1)),MID(B155,(FIND(")",B155)+1),100)),CONCATENATE(MID(B155,1,IF(ISNUMBER(SEARCH(" ",B155)),FIND(" ",B155)-1,FIND("(",B155)-1))," ","d",(SUM(MID(B155,FIND("(",B155)+2,FIND(":",B155)-FIND("(",B155)-2),MID(B155,FIND("_",B155)+1,FIND(":",B155,FIND("_",B155))-FIND("_",B155)-1))),":",SUM(MID(B155,FIND(":",B155)+1,FIND("_",B155)-FIND(":",B155)-1),MID(B155,FIND(":",B155,FIND("_",B155))+1,FIND(")",B155)-FIND(":",B155,FIND("_",B155))-1)),MID(B155,(FIND(")",B155)+1),100))),CONCATENATE(MID(B155,1,FIND(" ",B155)-1)," ","d",MID(B155,FIND("d",B155)+1,100)))</f>
        <v>HexCer d42:1</v>
      </c>
      <c r="D155" s="29">
        <f>'Enter Values'!B155</f>
        <v>8.5787673810334298E-3</v>
      </c>
      <c r="E155" s="29">
        <f>'Enter Values'!C155</f>
        <v>1.5135199458592799E-2</v>
      </c>
      <c r="F155" s="29">
        <f>'Enter Values'!D155</f>
        <v>1.1831125225290499E-2</v>
      </c>
    </row>
    <row r="156" spans="1:6" x14ac:dyDescent="0.2">
      <c r="A156" s="26" t="s">
        <v>425</v>
      </c>
      <c r="B156" s="28" t="str">
        <f>'Enter Values'!A156</f>
        <v>LPC 22:0</v>
      </c>
      <c r="C156" s="26" t="str">
        <f>IF(ISNUMBER(SEARCH("-",B156)),IF(ISNUMBER(SEARCH("(",B156)),IF(ISNUMBER(SEARCH("/",B156)),CONCATENATE(MID(B156,1,IF(ISNUMBER(SEARCH(" ",B156)),FIND(" ",B156)-1,FIND("(",B156)-1))," ",MID(B156,IF(ISNUMBER(SEARCH("-",B156)),FIND("-",B156)-1),2),SUM(MID(B156,FIND("(",B156)+3,(FIND(":",B156)-(FIND("-",B156)+1))),MID(B156,FIND("/",B156)+1,(FIND(":",B156,FIND("/",B156))-FIND("/",B156)-1))),":",SUM(MID(B156,FIND(":",B156)+1,FIND("/",B156)-(FIND(":",B156)+1)),MID(B156,FIND(":",B156,FIND("/",B156))+1,FIND(")",B156)-FIND(":",B156,FIND("/",B156))-1))," ",MID(B156,(FIND(")",B156)+1),100)),CONCATENATE(MID(B156,1,IF(ISNUMBER(SEARCH(" ",B156)),FIND(" ",B156)-1,FIND("(",B156)-1))," ",MID(B156,IF(ISNUMBER(SEARCH("-",B156)),FIND("-",B156)-1),2),SUM(MID(B156,FIND("(",B156)+3,(FIND(":",B156)-(FIND("-",B156)+1))),MID(B156,FIND("_",B156)+1,(FIND(":",B156,FIND("_",B156))-FIND("_",B156)-1))),":",SUM(MID(B156,FIND(":",B156)+1,FIND("_",B156)-(FIND(":",B156)+1)),MID(B156,FIND(":",B156,FIND("_",B156))+1,FIND(")",B156)-FIND(":",B156,FIND("_",B156))-1))," ",MID(B156,(FIND(")",B156)+1),100))),B156),IF(ISNUMBER(SEARCH("(",B156)),IF(ISNUMBER(SEARCH("/",B156)),CONCATENATE(MID(B156,1,IF(ISNUMBER(SEARCH(" ",B156)),FIND(" ",B156)-1,FIND("(",B156)-1))," ",(SUM(MID(B156,FIND("(",B156)+1,FIND(":",B156)-FIND("(",B156)-1),MID(B156,FIND("/",B156)+1,FIND(":",B156,FIND("/",B156))-FIND("/",B156)-1))),":",SUM(MID(B156,FIND(":",B156)+1,FIND("/",B156)-FIND(":",B156)-1),MID(B156,FIND(":",B156,FIND("/",B156))+1,FIND(")",B156)-FIND(":",B156,FIND("/",B156))-1)),MID(B156,(FIND(")",B156)+1),100)),CONCATENATE(MID(B156,1,IF(ISNUMBER(SEARCH(" ",B156)),FIND(" ",B156)-1,FIND("(",B156)-1))," ",(SUM(MID(B156,FIND("(",B156)+1,FIND(":",B156)-FIND("(",B156)-1),MID(B156,FIND("_",B156)+1,FIND(":",B156,FIND("_",B156))-FIND("_",B156)-1))),":",SUM(MID(B156,FIND(":",B156)+1,FIND("_",B156)-FIND(":",B156)-1),MID(B156,FIND(":",B156,FIND("_",B156))+1,FIND(")",B156)-FIND(":",B156,FIND("_",B156))-1)),MID(B156,(FIND(")",B156)+1),100))),B156))</f>
        <v>LPC 22:0</v>
      </c>
      <c r="D156" s="29">
        <f>'Enter Values'!B156</f>
        <v>1.94320054531773E-2</v>
      </c>
      <c r="E156" s="29">
        <f>'Enter Values'!C156</f>
        <v>2.2764656510839101E-2</v>
      </c>
      <c r="F156" s="29">
        <f>'Enter Values'!D156</f>
        <v>1.95517699458564E-2</v>
      </c>
    </row>
    <row r="157" spans="1:6" x14ac:dyDescent="0.2">
      <c r="A157" s="26" t="s">
        <v>482</v>
      </c>
      <c r="B157" s="28" t="str">
        <f>'Enter Values'!A157</f>
        <v>FFA 20:5</v>
      </c>
      <c r="C157" s="26" t="str">
        <f>IF(ISNUMBER(SEARCH("-",B157)),IF(ISNUMBER(SEARCH("(",B157)),IF(ISNUMBER(SEARCH("/",B157)),CONCATENATE(MID(B157,1,IF(ISNUMBER(SEARCH(" ",B157)),FIND(" ",B157)-1,FIND("(",B157)-1))," ",MID(B157,IF(ISNUMBER(SEARCH("-",B157)),FIND("-",B157)-1),2),SUM(MID(B157,FIND("(",B157)+3,(FIND(":",B157)-(FIND("-",B157)+1))),MID(B157,FIND("/",B157)+1,(FIND(":",B157,FIND("/",B157))-FIND("/",B157)-1))),":",SUM(MID(B157,FIND(":",B157)+1,FIND("/",B157)-(FIND(":",B157)+1)),MID(B157,FIND(":",B157,FIND("/",B157))+1,FIND(")",B157)-FIND(":",B157,FIND("/",B157))-1))," ",MID(B157,(FIND(")",B157)+1),100)),CONCATENATE(MID(B157,1,IF(ISNUMBER(SEARCH(" ",B157)),FIND(" ",B157)-1,FIND("(",B157)-1))," ",MID(B157,IF(ISNUMBER(SEARCH("-",B157)),FIND("-",B157)-1),2),SUM(MID(B157,FIND("(",B157)+3,(FIND(":",B157)-(FIND("-",B157)+1))),MID(B157,FIND("_",B157)+1,(FIND(":",B157,FIND("_",B157))-FIND("_",B157)-1))),":",SUM(MID(B157,FIND(":",B157)+1,FIND("_",B157)-(FIND(":",B157)+1)),MID(B157,FIND(":",B157,FIND("_",B157))+1,FIND(")",B157)-FIND(":",B157,FIND("_",B157))-1))," ",MID(B157,(FIND(")",B157)+1),100))),B157),IF(ISNUMBER(SEARCH("(",B157)),IF(ISNUMBER(SEARCH("/",B157)),CONCATENATE(MID(B157,1,IF(ISNUMBER(SEARCH(" ",B157)),FIND(" ",B157)-1,FIND("(",B157)-1))," ",(SUM(MID(B157,FIND("(",B157)+1,FIND(":",B157)-FIND("(",B157)-1),MID(B157,FIND("/",B157)+1,FIND(":",B157,FIND("/",B157))-FIND("/",B157)-1))),":",SUM(MID(B157,FIND(":",B157)+1,FIND("/",B157)-FIND(":",B157)-1),MID(B157,FIND(":",B157,FIND("/",B157))+1,FIND(")",B157)-FIND(":",B157,FIND("/",B157))-1)),MID(B157,(FIND(")",B157)+1),100)),CONCATENATE(MID(B157,1,IF(ISNUMBER(SEARCH(" ",B157)),FIND(" ",B157)-1,FIND("(",B157)-1))," ",(SUM(MID(B157,FIND("(",B157)+1,FIND(":",B157)-FIND("(",B157)-1),MID(B157,FIND("_",B157)+1,FIND(":",B157,FIND("_",B157))-FIND("_",B157)-1))),":",SUM(MID(B157,FIND(":",B157)+1,FIND("_",B157)-FIND(":",B157)-1),MID(B157,FIND(":",B157,FIND("_",B157))+1,FIND(")",B157)-FIND(":",B157,FIND("_",B157))-1)),MID(B157,(FIND(")",B157)+1),100))),B157))</f>
        <v>FFA 20:5</v>
      </c>
      <c r="D157" s="29">
        <f>'Enter Values'!B157</f>
        <v>8.2139858140822895E-3</v>
      </c>
      <c r="E157" s="29">
        <f>'Enter Values'!C157</f>
        <v>1.2689281934324399E-2</v>
      </c>
      <c r="F157" s="29">
        <f>'Enter Values'!D157</f>
        <v>1.5242384816164301E-2</v>
      </c>
    </row>
    <row r="158" spans="1:6" x14ac:dyDescent="0.2">
      <c r="A158" s="26" t="s">
        <v>481</v>
      </c>
      <c r="B158" s="28" t="str">
        <f>'Enter Values'!A158</f>
        <v>GLCA</v>
      </c>
      <c r="C158" s="26" t="str">
        <f>B158</f>
        <v>GLCA</v>
      </c>
      <c r="D158" s="29">
        <f>'Enter Values'!B158</f>
        <v>5.5480963356023703E-3</v>
      </c>
      <c r="E158" s="29">
        <f>'Enter Values'!C158</f>
        <v>9.1154365761781705E-3</v>
      </c>
      <c r="F158" s="29">
        <f>'Enter Values'!D158</f>
        <v>1.03561835532837E-2</v>
      </c>
    </row>
    <row r="159" spans="1:6" x14ac:dyDescent="0.2">
      <c r="B159" s="28"/>
    </row>
    <row r="160" spans="1:6" x14ac:dyDescent="0.2">
      <c r="B160" s="28"/>
    </row>
    <row r="161" spans="2:2" x14ac:dyDescent="0.2">
      <c r="B161" s="28"/>
    </row>
    <row r="162" spans="2:2" x14ac:dyDescent="0.2">
      <c r="B162" s="28"/>
    </row>
    <row r="163" spans="2:2" x14ac:dyDescent="0.2">
      <c r="B163" s="28"/>
    </row>
    <row r="164" spans="2:2" x14ac:dyDescent="0.2">
      <c r="B164" s="28"/>
    </row>
    <row r="165" spans="2:2" x14ac:dyDescent="0.2">
      <c r="B165" s="28"/>
    </row>
    <row r="166" spans="2:2" x14ac:dyDescent="0.2">
      <c r="B166" s="28"/>
    </row>
    <row r="167" spans="2:2" x14ac:dyDescent="0.2">
      <c r="B167" s="28"/>
    </row>
    <row r="168" spans="2:2" x14ac:dyDescent="0.2">
      <c r="B168" s="28"/>
    </row>
    <row r="169" spans="2:2" x14ac:dyDescent="0.2">
      <c r="B169" s="28"/>
    </row>
    <row r="170" spans="2:2" x14ac:dyDescent="0.2">
      <c r="B170" s="28"/>
    </row>
    <row r="171" spans="2:2" x14ac:dyDescent="0.2">
      <c r="B171" s="28"/>
    </row>
    <row r="172" spans="2:2" x14ac:dyDescent="0.2">
      <c r="B172" s="28"/>
    </row>
    <row r="173" spans="2:2" x14ac:dyDescent="0.2">
      <c r="B173" s="28"/>
    </row>
    <row r="174" spans="2:2" x14ac:dyDescent="0.2">
      <c r="B174" s="28"/>
    </row>
    <row r="175" spans="2:2" x14ac:dyDescent="0.2">
      <c r="B175" s="28"/>
    </row>
    <row r="176" spans="2:2" x14ac:dyDescent="0.2">
      <c r="B176" s="28"/>
    </row>
    <row r="177" spans="2:2" x14ac:dyDescent="0.2">
      <c r="B177" s="28"/>
    </row>
    <row r="178" spans="2:2" x14ac:dyDescent="0.2">
      <c r="B178" s="28"/>
    </row>
    <row r="179" spans="2:2" x14ac:dyDescent="0.2">
      <c r="B179" s="28"/>
    </row>
    <row r="180" spans="2:2" x14ac:dyDescent="0.2">
      <c r="B180" s="28"/>
    </row>
    <row r="181" spans="2:2" x14ac:dyDescent="0.2">
      <c r="B181" s="28"/>
    </row>
    <row r="182" spans="2:2" x14ac:dyDescent="0.2">
      <c r="B182" s="28"/>
    </row>
    <row r="183" spans="2:2" x14ac:dyDescent="0.2">
      <c r="B183" s="28"/>
    </row>
    <row r="184" spans="2:2" x14ac:dyDescent="0.2">
      <c r="B184" s="28"/>
    </row>
    <row r="185" spans="2:2" x14ac:dyDescent="0.2">
      <c r="B185" s="28"/>
    </row>
    <row r="186" spans="2:2" x14ac:dyDescent="0.2">
      <c r="B186" s="28"/>
    </row>
    <row r="187" spans="2:2" x14ac:dyDescent="0.2">
      <c r="B187" s="28"/>
    </row>
    <row r="188" spans="2:2" x14ac:dyDescent="0.2">
      <c r="B188" s="28"/>
    </row>
    <row r="189" spans="2:2" x14ac:dyDescent="0.2">
      <c r="B189" s="28"/>
    </row>
    <row r="190" spans="2:2" x14ac:dyDescent="0.2">
      <c r="B190" s="28"/>
    </row>
    <row r="191" spans="2:2" x14ac:dyDescent="0.2">
      <c r="B191" s="28"/>
    </row>
    <row r="192" spans="2:2" x14ac:dyDescent="0.2">
      <c r="B192" s="28"/>
    </row>
    <row r="193" spans="2:2" x14ac:dyDescent="0.2">
      <c r="B193" s="28"/>
    </row>
    <row r="194" spans="2:2" x14ac:dyDescent="0.2">
      <c r="B194" s="28"/>
    </row>
    <row r="195" spans="2:2" x14ac:dyDescent="0.2">
      <c r="B195" s="28"/>
    </row>
    <row r="196" spans="2:2" x14ac:dyDescent="0.2">
      <c r="B196" s="28"/>
    </row>
    <row r="197" spans="2:2" x14ac:dyDescent="0.2">
      <c r="B197" s="28"/>
    </row>
    <row r="198" spans="2:2" x14ac:dyDescent="0.2">
      <c r="B198" s="28"/>
    </row>
    <row r="199" spans="2:2" x14ac:dyDescent="0.2">
      <c r="B199" s="28"/>
    </row>
    <row r="200" spans="2:2" x14ac:dyDescent="0.2">
      <c r="B200" s="28"/>
    </row>
    <row r="201" spans="2:2" x14ac:dyDescent="0.2">
      <c r="B201" s="28"/>
    </row>
    <row r="202" spans="2:2" x14ac:dyDescent="0.2">
      <c r="B202" s="28"/>
    </row>
    <row r="203" spans="2:2" x14ac:dyDescent="0.2">
      <c r="B203" s="28"/>
    </row>
    <row r="204" spans="2:2" x14ac:dyDescent="0.2">
      <c r="B204" s="28"/>
    </row>
    <row r="205" spans="2:2" x14ac:dyDescent="0.2">
      <c r="B205" s="28"/>
    </row>
    <row r="206" spans="2:2" x14ac:dyDescent="0.2">
      <c r="B206" s="28"/>
    </row>
    <row r="207" spans="2:2" x14ac:dyDescent="0.2">
      <c r="B207" s="28"/>
    </row>
    <row r="208" spans="2:2" x14ac:dyDescent="0.2">
      <c r="B208" s="28"/>
    </row>
    <row r="209" spans="2:2" x14ac:dyDescent="0.2">
      <c r="B209" s="28"/>
    </row>
    <row r="210" spans="2:2" x14ac:dyDescent="0.2">
      <c r="B210" s="28"/>
    </row>
    <row r="211" spans="2:2" x14ac:dyDescent="0.2">
      <c r="B211" s="28"/>
    </row>
    <row r="212" spans="2:2" x14ac:dyDescent="0.2">
      <c r="B212" s="28"/>
    </row>
    <row r="213" spans="2:2" x14ac:dyDescent="0.2">
      <c r="B213" s="28"/>
    </row>
    <row r="214" spans="2:2" x14ac:dyDescent="0.2">
      <c r="B214" s="28"/>
    </row>
    <row r="215" spans="2:2" x14ac:dyDescent="0.2">
      <c r="B215" s="28"/>
    </row>
    <row r="216" spans="2:2" x14ac:dyDescent="0.2">
      <c r="B216" s="28"/>
    </row>
    <row r="217" spans="2:2" x14ac:dyDescent="0.2">
      <c r="B217" s="28"/>
    </row>
    <row r="218" spans="2:2" x14ac:dyDescent="0.2">
      <c r="B218" s="28"/>
    </row>
    <row r="219" spans="2:2" x14ac:dyDescent="0.2">
      <c r="B219" s="28"/>
    </row>
    <row r="220" spans="2:2" x14ac:dyDescent="0.2">
      <c r="B220" s="28"/>
    </row>
    <row r="221" spans="2:2" x14ac:dyDescent="0.2">
      <c r="B221" s="28"/>
    </row>
    <row r="222" spans="2:2" x14ac:dyDescent="0.2">
      <c r="B222" s="28"/>
    </row>
    <row r="223" spans="2:2" x14ac:dyDescent="0.2">
      <c r="B223" s="28"/>
    </row>
    <row r="224" spans="2:2" x14ac:dyDescent="0.2">
      <c r="B224" s="28"/>
    </row>
    <row r="225" spans="2:2" x14ac:dyDescent="0.2">
      <c r="B225" s="28"/>
    </row>
    <row r="226" spans="2:2" x14ac:dyDescent="0.2">
      <c r="B226" s="28"/>
    </row>
    <row r="227" spans="2:2" x14ac:dyDescent="0.2">
      <c r="B227" s="28"/>
    </row>
    <row r="228" spans="2:2" x14ac:dyDescent="0.2">
      <c r="B228" s="28"/>
    </row>
    <row r="229" spans="2:2" x14ac:dyDescent="0.2">
      <c r="B229" s="28"/>
    </row>
    <row r="230" spans="2:2" x14ac:dyDescent="0.2">
      <c r="B230" s="28"/>
    </row>
    <row r="231" spans="2:2" x14ac:dyDescent="0.2">
      <c r="B231" s="28"/>
    </row>
    <row r="232" spans="2:2" x14ac:dyDescent="0.2">
      <c r="B232" s="28"/>
    </row>
    <row r="233" spans="2:2" x14ac:dyDescent="0.2">
      <c r="B233" s="28"/>
    </row>
    <row r="234" spans="2:2" x14ac:dyDescent="0.2">
      <c r="B234" s="28"/>
    </row>
    <row r="235" spans="2:2" x14ac:dyDescent="0.2">
      <c r="B235" s="28"/>
    </row>
    <row r="236" spans="2:2" x14ac:dyDescent="0.2">
      <c r="B236" s="28"/>
    </row>
    <row r="237" spans="2:2" x14ac:dyDescent="0.2">
      <c r="B237" s="28"/>
    </row>
    <row r="238" spans="2:2" x14ac:dyDescent="0.2">
      <c r="B238" s="28"/>
    </row>
    <row r="239" spans="2:2" x14ac:dyDescent="0.2">
      <c r="B239" s="28"/>
    </row>
    <row r="240" spans="2:2" x14ac:dyDescent="0.2">
      <c r="B240" s="28"/>
    </row>
    <row r="241" spans="2:2" x14ac:dyDescent="0.2">
      <c r="B241" s="28"/>
    </row>
    <row r="242" spans="2:2" x14ac:dyDescent="0.2">
      <c r="B242" s="28"/>
    </row>
    <row r="243" spans="2:2" x14ac:dyDescent="0.2">
      <c r="B243" s="28"/>
    </row>
    <row r="244" spans="2:2" x14ac:dyDescent="0.2">
      <c r="B244" s="28"/>
    </row>
    <row r="245" spans="2:2" x14ac:dyDescent="0.2">
      <c r="B245" s="28"/>
    </row>
    <row r="246" spans="2:2" x14ac:dyDescent="0.2">
      <c r="B246" s="28"/>
    </row>
    <row r="247" spans="2:2" x14ac:dyDescent="0.2">
      <c r="B247" s="28"/>
    </row>
    <row r="248" spans="2:2" x14ac:dyDescent="0.2">
      <c r="B248" s="28"/>
    </row>
    <row r="249" spans="2:2" x14ac:dyDescent="0.2">
      <c r="B249" s="28"/>
    </row>
    <row r="250" spans="2:2" x14ac:dyDescent="0.2">
      <c r="B250" s="28"/>
    </row>
    <row r="251" spans="2:2" x14ac:dyDescent="0.2">
      <c r="B251" s="28"/>
    </row>
    <row r="252" spans="2:2" x14ac:dyDescent="0.2">
      <c r="B252" s="28"/>
    </row>
    <row r="253" spans="2:2" x14ac:dyDescent="0.2">
      <c r="B253" s="28"/>
    </row>
    <row r="254" spans="2:2" x14ac:dyDescent="0.2">
      <c r="B254" s="28"/>
    </row>
    <row r="255" spans="2:2" x14ac:dyDescent="0.2">
      <c r="B255" s="28"/>
    </row>
  </sheetData>
  <mergeCells count="1">
    <mergeCell ref="D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16"/>
  <sheetViews>
    <sheetView workbookViewId="0">
      <selection activeCell="C158" sqref="C158:D158"/>
    </sheetView>
  </sheetViews>
  <sheetFormatPr defaultColWidth="9.140625" defaultRowHeight="14.25" x14ac:dyDescent="0.2"/>
  <cols>
    <col min="1" max="1" width="27.28515625" style="34" bestFit="1" customWidth="1"/>
    <col min="2" max="4" width="9.140625" style="35"/>
    <col min="5" max="5" width="9.140625" style="43"/>
    <col min="6" max="7" width="9.140625" style="35"/>
    <col min="8" max="8" width="9.140625" style="43"/>
    <col min="9" max="9" width="9.140625" style="35"/>
    <col min="10" max="10" width="9.140625" style="43"/>
    <col min="11" max="18" width="9.140625" style="35"/>
    <col min="19" max="19" width="9.140625" style="43"/>
    <col min="20" max="16384" width="9.140625" style="35"/>
  </cols>
  <sheetData>
    <row r="1" spans="1:19" s="36" customFormat="1" ht="15" x14ac:dyDescent="0.25">
      <c r="A1" s="34"/>
      <c r="B1" s="154" t="s">
        <v>366</v>
      </c>
      <c r="C1" s="154"/>
      <c r="D1" s="154"/>
      <c r="E1" s="154"/>
      <c r="F1" s="154"/>
      <c r="G1" s="154"/>
      <c r="H1" s="154"/>
      <c r="I1" s="154"/>
      <c r="J1" s="42"/>
      <c r="S1" s="42"/>
    </row>
    <row r="2" spans="1:19" s="36" customFormat="1" ht="28.5" customHeight="1" x14ac:dyDescent="0.2">
      <c r="A2" s="31" t="s">
        <v>364</v>
      </c>
      <c r="B2" s="37" t="str">
        <f>'Data Overview'!D$2</f>
        <v>S1</v>
      </c>
      <c r="C2" s="37" t="str">
        <f>'Data Overview'!E$2</f>
        <v>S2</v>
      </c>
      <c r="D2" s="37" t="str">
        <f>'Data Overview'!F$2</f>
        <v>S3</v>
      </c>
      <c r="E2" s="51" t="s">
        <v>430</v>
      </c>
      <c r="F2" s="37"/>
      <c r="G2" s="37"/>
      <c r="H2" s="51"/>
      <c r="I2" s="37"/>
      <c r="J2" s="42"/>
      <c r="S2" s="42"/>
    </row>
    <row r="3" spans="1:19" x14ac:dyDescent="0.2">
      <c r="A3" s="34" t="s">
        <v>102</v>
      </c>
      <c r="B3" s="35">
        <f>+'Data Overview'!D142</f>
        <v>0.172578835468368</v>
      </c>
      <c r="C3" s="35">
        <f>+'Data Overview'!E142</f>
        <v>0.19346262869899999</v>
      </c>
      <c r="D3" s="35">
        <f>+'Data Overview'!F142</f>
        <v>0.21611433951435199</v>
      </c>
    </row>
    <row r="4" spans="1:19" x14ac:dyDescent="0.2">
      <c r="A4" s="38" t="s">
        <v>103</v>
      </c>
      <c r="B4" s="35">
        <f>+'Data Overview'!D157</f>
        <v>8.2139858140822895E-3</v>
      </c>
      <c r="C4" s="35">
        <f>+'Data Overview'!E157</f>
        <v>1.2689281934324399E-2</v>
      </c>
      <c r="D4" s="35">
        <f>+'Data Overview'!F157</f>
        <v>1.5242384816164301E-2</v>
      </c>
    </row>
    <row r="5" spans="1:19" x14ac:dyDescent="0.2">
      <c r="A5" s="38" t="s">
        <v>104</v>
      </c>
      <c r="B5" s="35">
        <f>+'Data Overview'!D135</f>
        <v>0.24492009254792699</v>
      </c>
      <c r="C5" s="35">
        <f>+'Data Overview'!E135</f>
        <v>0.26405781145537399</v>
      </c>
      <c r="D5" s="35">
        <f>+'Data Overview'!F135</f>
        <v>0.25380998139863498</v>
      </c>
    </row>
    <row r="6" spans="1:19" x14ac:dyDescent="0.2">
      <c r="A6" s="38" t="s">
        <v>108</v>
      </c>
      <c r="B6" s="35">
        <f>+'Data Overview'!D136</f>
        <v>0.320460034512634</v>
      </c>
      <c r="C6" s="35">
        <f>+'Data Overview'!E136</f>
        <v>0.32758929901378803</v>
      </c>
      <c r="D6" s="35">
        <f>+'Data Overview'!F136</f>
        <v>0.31993608297223203</v>
      </c>
    </row>
    <row r="7" spans="1:19" x14ac:dyDescent="0.2">
      <c r="A7" s="34" t="s">
        <v>109</v>
      </c>
      <c r="B7" s="35">
        <f>+'Data Overview'!D141</f>
        <v>0.25087638957995401</v>
      </c>
      <c r="C7" s="35">
        <f>+'Data Overview'!E141</f>
        <v>0.231873373624776</v>
      </c>
      <c r="D7" s="35">
        <f>+'Data Overview'!F141</f>
        <v>0.19376646663542099</v>
      </c>
    </row>
    <row r="8" spans="1:19" x14ac:dyDescent="0.2">
      <c r="A8" s="34" t="s">
        <v>110</v>
      </c>
      <c r="B8" s="35">
        <f>+'Data Overview'!D12</f>
        <v>48.1735927237482</v>
      </c>
      <c r="C8" s="35">
        <f>+'Data Overview'!E12</f>
        <v>48.702414672139497</v>
      </c>
      <c r="D8" s="35">
        <f>+'Data Overview'!F12</f>
        <v>49.686827370255301</v>
      </c>
    </row>
    <row r="9" spans="1:19" x14ac:dyDescent="0.2">
      <c r="A9" s="34" t="s">
        <v>111</v>
      </c>
      <c r="B9" s="35">
        <f>+'Data Overview'!D140</f>
        <v>0.27880942737109399</v>
      </c>
      <c r="C9" s="35">
        <f>+'Data Overview'!E140</f>
        <v>0.29305728538921699</v>
      </c>
      <c r="D9" s="35">
        <f>+'Data Overview'!F140</f>
        <v>0.29947210441113498</v>
      </c>
    </row>
    <row r="10" spans="1:19" x14ac:dyDescent="0.2">
      <c r="A10" s="34" t="s">
        <v>112</v>
      </c>
      <c r="B10" s="35">
        <f>+'Data Overview'!D145</f>
        <v>0.13763036348260599</v>
      </c>
      <c r="C10" s="35">
        <f>+'Data Overview'!E145</f>
        <v>0.12948043397447201</v>
      </c>
      <c r="D10" s="35">
        <f>+'Data Overview'!F145</f>
        <v>0.12481546326834</v>
      </c>
    </row>
    <row r="11" spans="1:19" x14ac:dyDescent="0.2">
      <c r="A11" s="34" t="s">
        <v>113</v>
      </c>
      <c r="B11" s="35">
        <f>+'Data Overview'!D107</f>
        <v>1.2896831340370001</v>
      </c>
      <c r="C11" s="35">
        <f>+'Data Overview'!E107</f>
        <v>1.2913599268862701</v>
      </c>
      <c r="D11" s="35">
        <f>+'Data Overview'!F107</f>
        <v>1.35261184832897</v>
      </c>
    </row>
    <row r="12" spans="1:19" x14ac:dyDescent="0.2">
      <c r="A12" s="34" t="s">
        <v>114</v>
      </c>
      <c r="B12" s="35">
        <f>+'Data Overview'!D128</f>
        <v>0.469360906128095</v>
      </c>
      <c r="C12" s="35">
        <f>+'Data Overview'!E128</f>
        <v>0.519232778913302</v>
      </c>
      <c r="D12" s="35">
        <f>+'Data Overview'!F128</f>
        <v>0.468498316459591</v>
      </c>
    </row>
    <row r="13" spans="1:19" x14ac:dyDescent="0.2">
      <c r="A13" s="34" t="s">
        <v>115</v>
      </c>
      <c r="B13" s="35">
        <f>+'Data Overview'!D151</f>
        <v>7.1608870730323307E-2</v>
      </c>
      <c r="C13" s="35">
        <f>+'Data Overview'!E151</f>
        <v>7.32476225819024E-2</v>
      </c>
      <c r="D13" s="35">
        <f>+'Data Overview'!F151</f>
        <v>9.4404383243381601E-2</v>
      </c>
    </row>
    <row r="14" spans="1:19" x14ac:dyDescent="0.2">
      <c r="A14" s="34" t="s">
        <v>116</v>
      </c>
      <c r="B14" s="35">
        <f>+'Data Overview'!D22</f>
        <v>20.295239086366301</v>
      </c>
      <c r="C14" s="35">
        <f>+'Data Overview'!E22</f>
        <v>20.167723834894701</v>
      </c>
      <c r="D14" s="35">
        <f>+'Data Overview'!F22</f>
        <v>18.5770623298129</v>
      </c>
    </row>
    <row r="15" spans="1:19" x14ac:dyDescent="0.2">
      <c r="A15" s="34" t="s">
        <v>118</v>
      </c>
      <c r="B15" s="35">
        <f>+'Data Overview'!D44</f>
        <v>8.8738734601471005</v>
      </c>
      <c r="C15" s="35">
        <f>+'Data Overview'!E44</f>
        <v>8.6758050009068501</v>
      </c>
      <c r="D15" s="35">
        <f>+'Data Overview'!F44</f>
        <v>9.1042378521992404</v>
      </c>
    </row>
    <row r="16" spans="1:19" x14ac:dyDescent="0.2">
      <c r="A16" s="34" t="s">
        <v>119</v>
      </c>
      <c r="B16" s="35">
        <f>+'Data Overview'!D30</f>
        <v>15.7810407441892</v>
      </c>
      <c r="C16" s="35">
        <f>+'Data Overview'!E30</f>
        <v>15.962386496856899</v>
      </c>
      <c r="D16" s="35">
        <f>+'Data Overview'!F30</f>
        <v>16.321485081042798</v>
      </c>
    </row>
    <row r="17" spans="1:4" x14ac:dyDescent="0.2">
      <c r="A17" s="34" t="s">
        <v>121</v>
      </c>
      <c r="B17" s="35">
        <f>+'Data Overview'!D152</f>
        <v>6.5590546812369394E-2</v>
      </c>
      <c r="C17" s="35">
        <f>+'Data Overview'!E152</f>
        <v>6.7523121701424799E-2</v>
      </c>
      <c r="D17" s="35">
        <f>+'Data Overview'!F152</f>
        <v>6.2008387510459201E-2</v>
      </c>
    </row>
    <row r="18" spans="1:4" x14ac:dyDescent="0.2">
      <c r="A18" s="34" t="s">
        <v>122</v>
      </c>
      <c r="B18" s="35">
        <f>+'Data Overview'!D149</f>
        <v>9.0994528705853894E-2</v>
      </c>
      <c r="C18" s="35">
        <f>+'Data Overview'!E149</f>
        <v>0.138389703943433</v>
      </c>
      <c r="D18" s="35">
        <f>+'Data Overview'!F149</f>
        <v>0.129396613941612</v>
      </c>
    </row>
    <row r="19" spans="1:4" x14ac:dyDescent="0.2">
      <c r="A19" s="34" t="s">
        <v>123</v>
      </c>
      <c r="B19" s="35">
        <f>+'Data Overview'!D146</f>
        <v>0.12596455661230099</v>
      </c>
      <c r="C19" s="35">
        <f>+'Data Overview'!E146</f>
        <v>0.132322354161655</v>
      </c>
      <c r="D19" s="35">
        <f>+'Data Overview'!F146</f>
        <v>0.13303500211341099</v>
      </c>
    </row>
    <row r="20" spans="1:4" x14ac:dyDescent="0.2">
      <c r="A20" s="38" t="s">
        <v>124</v>
      </c>
      <c r="B20" s="35">
        <f>+'Data Overview'!D111</f>
        <v>0.99556577070127195</v>
      </c>
      <c r="C20" s="35">
        <f>+'Data Overview'!E111</f>
        <v>0.956093814918339</v>
      </c>
      <c r="D20" s="35">
        <f>+'Data Overview'!F111</f>
        <v>1.08939494909123</v>
      </c>
    </row>
    <row r="21" spans="1:4" x14ac:dyDescent="0.2">
      <c r="A21" s="34" t="s">
        <v>125</v>
      </c>
      <c r="B21" s="35">
        <f>+'Data Overview'!D63</f>
        <v>4.5784190703329202</v>
      </c>
      <c r="C21" s="35">
        <f>+'Data Overview'!E63</f>
        <v>4.61909475842499</v>
      </c>
      <c r="D21" s="35">
        <f>+'Data Overview'!F63</f>
        <v>4.8573486265703201</v>
      </c>
    </row>
    <row r="22" spans="1:4" x14ac:dyDescent="0.2">
      <c r="A22" s="34" t="s">
        <v>126</v>
      </c>
      <c r="B22" s="35">
        <f>+'Data Overview'!D143</f>
        <v>0.19273164453928501</v>
      </c>
      <c r="C22" s="35">
        <f>+'Data Overview'!E143</f>
        <v>0.18645510207494301</v>
      </c>
      <c r="D22" s="35">
        <f>+'Data Overview'!F143</f>
        <v>0.18962750194807601</v>
      </c>
    </row>
    <row r="23" spans="1:4" x14ac:dyDescent="0.2">
      <c r="A23" s="34" t="s">
        <v>127</v>
      </c>
      <c r="B23" s="35">
        <f>+'Data Overview'!D156</f>
        <v>1.94320054531773E-2</v>
      </c>
      <c r="C23" s="35">
        <f>+'Data Overview'!E156</f>
        <v>2.2764656510839101E-2</v>
      </c>
      <c r="D23" s="35">
        <f>+'Data Overview'!F156</f>
        <v>1.95517699458564E-2</v>
      </c>
    </row>
    <row r="24" spans="1:4" x14ac:dyDescent="0.2">
      <c r="A24" s="34" t="s">
        <v>129</v>
      </c>
      <c r="B24" s="35">
        <f>+'Data Overview'!D147</f>
        <v>0.10207695657322</v>
      </c>
      <c r="C24" s="35">
        <f>+'Data Overview'!E147</f>
        <v>0.101063784780151</v>
      </c>
      <c r="D24" s="35">
        <f>+'Data Overview'!F147</f>
        <v>0.14003625003234799</v>
      </c>
    </row>
    <row r="25" spans="1:4" x14ac:dyDescent="0.2">
      <c r="A25" s="38" t="s">
        <v>130</v>
      </c>
      <c r="B25" s="35">
        <f>+'Data Overview'!D133</f>
        <v>0.36208135347238901</v>
      </c>
      <c r="C25" s="35">
        <f>+'Data Overview'!E133</f>
        <v>0.380377272101659</v>
      </c>
      <c r="D25" s="35">
        <f>+'Data Overview'!F133</f>
        <v>0.39468948671426402</v>
      </c>
    </row>
    <row r="26" spans="1:4" x14ac:dyDescent="0.2">
      <c r="A26" s="34" t="s">
        <v>131</v>
      </c>
      <c r="B26" s="35">
        <f>+'Data Overview'!D117</f>
        <v>0.78374648613638997</v>
      </c>
      <c r="C26" s="35">
        <f>+'Data Overview'!E117</f>
        <v>0.74988664124493998</v>
      </c>
      <c r="D26" s="35">
        <f>+'Data Overview'!F117</f>
        <v>0.98089936712682502</v>
      </c>
    </row>
    <row r="27" spans="1:4" x14ac:dyDescent="0.2">
      <c r="A27" s="34" t="s">
        <v>132</v>
      </c>
      <c r="B27" s="35">
        <f>+'Data Overview'!D154</f>
        <v>5.1059206248249001E-2</v>
      </c>
      <c r="C27" s="35">
        <f>+'Data Overview'!E154</f>
        <v>4.7157799719327702E-2</v>
      </c>
      <c r="D27" s="35">
        <f>+'Data Overview'!F154</f>
        <v>4.9600852840453298E-2</v>
      </c>
    </row>
    <row r="28" spans="1:4" x14ac:dyDescent="0.2">
      <c r="A28" s="38" t="s">
        <v>133</v>
      </c>
      <c r="B28" s="35">
        <f>+'Data Overview'!D120</f>
        <v>0.53286264315449094</v>
      </c>
      <c r="C28" s="35">
        <f>+'Data Overview'!E120</f>
        <v>0.55454778227762402</v>
      </c>
      <c r="D28" s="35">
        <f>+'Data Overview'!F120</f>
        <v>0.62817046373076801</v>
      </c>
    </row>
    <row r="29" spans="1:4" x14ac:dyDescent="0.2">
      <c r="A29" s="34" t="s">
        <v>134</v>
      </c>
      <c r="B29" s="35">
        <f>+'Data Overview'!D55</f>
        <v>4.5436372407139398</v>
      </c>
      <c r="C29" s="35">
        <f>+'Data Overview'!E55</f>
        <v>4.6968275296457902</v>
      </c>
      <c r="D29" s="35">
        <f>+'Data Overview'!F55</f>
        <v>4.9704164807864002</v>
      </c>
    </row>
    <row r="30" spans="1:4" x14ac:dyDescent="0.2">
      <c r="A30" s="34" t="s">
        <v>135</v>
      </c>
      <c r="B30" s="35">
        <f>+'Data Overview'!D113</f>
        <v>0.64368601597255704</v>
      </c>
      <c r="C30" s="35">
        <f>+'Data Overview'!E113</f>
        <v>0.625519764554061</v>
      </c>
      <c r="D30" s="35">
        <f>+'Data Overview'!F113</f>
        <v>0.67941686607588903</v>
      </c>
    </row>
    <row r="31" spans="1:4" x14ac:dyDescent="0.2">
      <c r="A31" s="34" t="s">
        <v>136</v>
      </c>
      <c r="B31" s="35">
        <f>+'Data Overview'!D89</f>
        <v>1.4371783602222601</v>
      </c>
      <c r="C31" s="35">
        <f>+'Data Overview'!E89</f>
        <v>1.4845423946346199</v>
      </c>
      <c r="D31" s="35">
        <f>+'Data Overview'!F89</f>
        <v>1.69238241753719</v>
      </c>
    </row>
    <row r="32" spans="1:4" x14ac:dyDescent="0.2">
      <c r="A32" s="34" t="s">
        <v>137</v>
      </c>
      <c r="B32" s="35">
        <f>+'Data Overview'!D86</f>
        <v>1.58061353200765</v>
      </c>
      <c r="C32" s="35">
        <f>+'Data Overview'!E86</f>
        <v>1.6300362571434699</v>
      </c>
      <c r="D32" s="35">
        <f>+'Data Overview'!F86</f>
        <v>1.8202674938004999</v>
      </c>
    </row>
    <row r="33" spans="1:5" x14ac:dyDescent="0.2">
      <c r="A33" s="34" t="s">
        <v>138</v>
      </c>
      <c r="B33" s="35">
        <f>+'Data Overview'!D82</f>
        <v>1.8687802612066999</v>
      </c>
      <c r="C33" s="35">
        <f>+'Data Overview'!E82</f>
        <v>1.9540001412358801</v>
      </c>
      <c r="D33" s="35">
        <f>+'Data Overview'!F82</f>
        <v>1.54783600387347</v>
      </c>
    </row>
    <row r="34" spans="1:5" x14ac:dyDescent="0.2">
      <c r="A34" s="34" t="s">
        <v>139</v>
      </c>
      <c r="B34" s="35">
        <f>+'Data Overview'!D40</f>
        <v>4.7654581381179204</v>
      </c>
      <c r="C34" s="35">
        <f>+'Data Overview'!E40</f>
        <v>7.6161165386861498</v>
      </c>
      <c r="D34" s="35">
        <f>+'Data Overview'!F40</f>
        <v>4.8420569963485196</v>
      </c>
    </row>
    <row r="35" spans="1:5" x14ac:dyDescent="0.2">
      <c r="A35" s="34" t="s">
        <v>141</v>
      </c>
      <c r="B35" s="35">
        <f>+'Data Overview'!D130</f>
        <v>0.20898466423613599</v>
      </c>
      <c r="C35" s="35">
        <f>+'Data Overview'!E130</f>
        <v>0.23187722830937699</v>
      </c>
      <c r="D35" s="35">
        <f>+'Data Overview'!F130</f>
        <v>0.12886309522043199</v>
      </c>
      <c r="E35" s="43" t="s">
        <v>484</v>
      </c>
    </row>
    <row r="36" spans="1:5" x14ac:dyDescent="0.2">
      <c r="A36" s="34" t="s">
        <v>142</v>
      </c>
      <c r="B36" s="35">
        <f>+'Data Overview'!D31</f>
        <v>7.3895232953183099</v>
      </c>
      <c r="C36" s="35">
        <f>+'Data Overview'!E31</f>
        <v>8.85938414462872</v>
      </c>
      <c r="D36" s="35">
        <f>+'Data Overview'!F31</f>
        <v>6.1481034077032799</v>
      </c>
    </row>
    <row r="37" spans="1:5" x14ac:dyDescent="0.2">
      <c r="A37" s="34" t="s">
        <v>143</v>
      </c>
      <c r="B37" s="35">
        <f>+'Data Overview'!D67</f>
        <v>1.56428801718361</v>
      </c>
      <c r="C37" s="35">
        <f>+'Data Overview'!E67</f>
        <v>1.9997810958961899</v>
      </c>
      <c r="D37" s="35">
        <f>+'Data Overview'!F67</f>
        <v>1.3946604218566601</v>
      </c>
      <c r="E37" s="43" t="s">
        <v>485</v>
      </c>
    </row>
    <row r="38" spans="1:5" x14ac:dyDescent="0.2">
      <c r="A38" s="34" t="s">
        <v>144</v>
      </c>
      <c r="B38" s="35">
        <f>+'Data Overview'!D23</f>
        <v>8.8641152743019198</v>
      </c>
      <c r="C38" s="35">
        <f>+'Data Overview'!E23</f>
        <v>10.8393808726097</v>
      </c>
      <c r="D38" s="35">
        <f>+'Data Overview'!F23</f>
        <v>7.2421724787194703</v>
      </c>
    </row>
    <row r="39" spans="1:5" x14ac:dyDescent="0.2">
      <c r="A39" s="34" t="s">
        <v>145</v>
      </c>
      <c r="B39" s="35">
        <f>+'Data Overview'!D94</f>
        <v>0.87429821928937901</v>
      </c>
      <c r="C39" s="35">
        <f>+'Data Overview'!E94</f>
        <v>1.2071097367778501</v>
      </c>
      <c r="D39" s="35">
        <f>+'Data Overview'!F94</f>
        <v>0.69780199503540896</v>
      </c>
      <c r="E39" s="43" t="s">
        <v>486</v>
      </c>
    </row>
    <row r="40" spans="1:5" x14ac:dyDescent="0.2">
      <c r="A40" s="34" t="s">
        <v>148</v>
      </c>
      <c r="B40" s="35">
        <f>+'Data Overview'!D103</f>
        <v>0.72247072661501699</v>
      </c>
      <c r="C40" s="35">
        <f>+'Data Overview'!E103</f>
        <v>0.85652757662594603</v>
      </c>
      <c r="D40" s="35">
        <f>+'Data Overview'!F103</f>
        <v>0.51557527267412795</v>
      </c>
      <c r="E40" s="43" t="s">
        <v>487</v>
      </c>
    </row>
    <row r="41" spans="1:5" x14ac:dyDescent="0.2">
      <c r="A41" s="34" t="s">
        <v>149</v>
      </c>
      <c r="B41" s="35">
        <f>+'Data Overview'!D18</f>
        <v>12.9184280736683</v>
      </c>
      <c r="C41" s="35">
        <f>+'Data Overview'!E18</f>
        <v>16.950148234520999</v>
      </c>
      <c r="D41" s="35">
        <f>+'Data Overview'!F18</f>
        <v>11.729318373288001</v>
      </c>
    </row>
    <row r="42" spans="1:5" x14ac:dyDescent="0.2">
      <c r="A42" s="38" t="s">
        <v>150</v>
      </c>
      <c r="B42" s="35">
        <f>+'Data Overview'!D116</f>
        <v>0.38585723772596597</v>
      </c>
      <c r="C42" s="35">
        <f>+'Data Overview'!E116</f>
        <v>0.45807224228944898</v>
      </c>
      <c r="D42" s="35">
        <f>+'Data Overview'!F116</f>
        <v>0.351749240511118</v>
      </c>
      <c r="E42" s="43" t="s">
        <v>488</v>
      </c>
    </row>
    <row r="43" spans="1:5" x14ac:dyDescent="0.2">
      <c r="A43" s="34" t="s">
        <v>151</v>
      </c>
      <c r="B43" s="35">
        <f>+'Data Overview'!D4</f>
        <v>118.00905285128199</v>
      </c>
      <c r="C43" s="35">
        <f>+'Data Overview'!E4</f>
        <v>149.68117815924501</v>
      </c>
      <c r="D43" s="35">
        <f>+'Data Overview'!F4</f>
        <v>99.653982388018505</v>
      </c>
    </row>
    <row r="44" spans="1:5" x14ac:dyDescent="0.2">
      <c r="A44" s="34" t="s">
        <v>152</v>
      </c>
      <c r="B44" s="35">
        <f>+'Data Overview'!D48</f>
        <v>3.7781700648178398</v>
      </c>
      <c r="C44" s="35">
        <f>+'Data Overview'!E48</f>
        <v>4.7459247232828297</v>
      </c>
      <c r="D44" s="35">
        <f>+'Data Overview'!F48</f>
        <v>3.2119377749553801</v>
      </c>
      <c r="E44" s="43" t="s">
        <v>489</v>
      </c>
    </row>
    <row r="45" spans="1:5" x14ac:dyDescent="0.2">
      <c r="A45" s="34" t="s">
        <v>153</v>
      </c>
      <c r="B45" s="35">
        <f>+'Data Overview'!D61</f>
        <v>2.4521648901259701</v>
      </c>
      <c r="C45" s="35">
        <f>+'Data Overview'!E61</f>
        <v>3.0869766220541202</v>
      </c>
      <c r="D45" s="35">
        <f>+'Data Overview'!F61</f>
        <v>2.0784300587709001</v>
      </c>
      <c r="E45" s="43" t="s">
        <v>490</v>
      </c>
    </row>
    <row r="46" spans="1:5" x14ac:dyDescent="0.2">
      <c r="A46" s="34" t="s">
        <v>154</v>
      </c>
      <c r="B46" s="35">
        <f>+'Data Overview'!D49</f>
        <v>3.7441495332907002</v>
      </c>
      <c r="C46" s="35">
        <f>+'Data Overview'!E49</f>
        <v>4.5176719052769698</v>
      </c>
      <c r="D46" s="35">
        <f>+'Data Overview'!F49</f>
        <v>3.0570747774762501</v>
      </c>
      <c r="E46" s="43" t="s">
        <v>491</v>
      </c>
    </row>
    <row r="47" spans="1:5" x14ac:dyDescent="0.2">
      <c r="A47" s="34" t="s">
        <v>155</v>
      </c>
      <c r="B47" s="35">
        <f>+'Data Overview'!D54</f>
        <v>3.1976156119988102</v>
      </c>
      <c r="C47" s="35">
        <f>+'Data Overview'!E54</f>
        <v>3.8748798240015501</v>
      </c>
      <c r="D47" s="35">
        <f>+'Data Overview'!F54</f>
        <v>2.71327475136244</v>
      </c>
      <c r="E47" s="43" t="s">
        <v>492</v>
      </c>
    </row>
    <row r="48" spans="1:5" x14ac:dyDescent="0.2">
      <c r="A48" s="38" t="s">
        <v>158</v>
      </c>
      <c r="B48" s="35">
        <f>+'Data Overview'!D148</f>
        <v>4.8565161303773897E-2</v>
      </c>
      <c r="C48" s="35">
        <f>+'Data Overview'!E148</f>
        <v>5.7470537441462001E-2</v>
      </c>
      <c r="D48" s="35">
        <f>+'Data Overview'!F148</f>
        <v>3.5788719466506802E-2</v>
      </c>
    </row>
    <row r="49" spans="1:5" x14ac:dyDescent="0.2">
      <c r="A49" s="38" t="s">
        <v>159</v>
      </c>
      <c r="B49" s="35">
        <f>+'Data Overview'!D9</f>
        <v>36.246897602984198</v>
      </c>
      <c r="C49" s="35">
        <f>+'Data Overview'!E9</f>
        <v>44.605206737070802</v>
      </c>
      <c r="D49" s="35">
        <f>+'Data Overview'!F9</f>
        <v>30.128054340455801</v>
      </c>
    </row>
    <row r="50" spans="1:5" x14ac:dyDescent="0.2">
      <c r="A50" s="38" t="s">
        <v>160</v>
      </c>
      <c r="B50" s="35">
        <f>+'Data Overview'!D110</f>
        <v>0.52600360254373901</v>
      </c>
      <c r="C50" s="35">
        <f>+'Data Overview'!E110</f>
        <v>0.70352507273665499</v>
      </c>
      <c r="D50" s="35">
        <f>+'Data Overview'!F110</f>
        <v>0.50280676117589296</v>
      </c>
      <c r="E50" s="43" t="s">
        <v>493</v>
      </c>
    </row>
    <row r="51" spans="1:5" x14ac:dyDescent="0.2">
      <c r="A51" s="34" t="s">
        <v>161</v>
      </c>
      <c r="B51" s="35">
        <f>+'Data Overview'!D3</f>
        <v>147.811354708604</v>
      </c>
      <c r="C51" s="35">
        <f>+'Data Overview'!E3</f>
        <v>189.67397877901101</v>
      </c>
      <c r="D51" s="35">
        <f>+'Data Overview'!F3</f>
        <v>127.57945586544299</v>
      </c>
    </row>
    <row r="52" spans="1:5" x14ac:dyDescent="0.2">
      <c r="A52" s="34" t="s">
        <v>162</v>
      </c>
      <c r="B52" s="35">
        <f>+'Data Overview'!D77</f>
        <v>1.2924324525266899</v>
      </c>
      <c r="C52" s="35">
        <f>+'Data Overview'!E77</f>
        <v>1.66013452766596</v>
      </c>
      <c r="D52" s="35">
        <f>+'Data Overview'!F77</f>
        <v>0.95865395868974002</v>
      </c>
      <c r="E52" s="43" t="s">
        <v>494</v>
      </c>
    </row>
    <row r="53" spans="1:5" x14ac:dyDescent="0.2">
      <c r="A53" s="38" t="s">
        <v>163</v>
      </c>
      <c r="B53" s="35">
        <f>+'Data Overview'!D7</f>
        <v>51.631043555467997</v>
      </c>
      <c r="C53" s="35">
        <f>+'Data Overview'!E7</f>
        <v>63.6954839877965</v>
      </c>
      <c r="D53" s="35">
        <f>+'Data Overview'!F7</f>
        <v>42.894908205521602</v>
      </c>
    </row>
    <row r="54" spans="1:5" x14ac:dyDescent="0.2">
      <c r="A54" s="34" t="s">
        <v>165</v>
      </c>
      <c r="B54" s="35">
        <f>+'Data Overview'!D5</f>
        <v>73.649664919071398</v>
      </c>
      <c r="C54" s="35">
        <f>+'Data Overview'!E5</f>
        <v>90.1527713787669</v>
      </c>
      <c r="D54" s="35">
        <f>+'Data Overview'!F5</f>
        <v>61.6613522025363</v>
      </c>
    </row>
    <row r="55" spans="1:5" x14ac:dyDescent="0.2">
      <c r="A55" s="38" t="s">
        <v>166</v>
      </c>
      <c r="B55" s="35">
        <f>+'Data Overview'!D24</f>
        <v>8.7258156953528303</v>
      </c>
      <c r="C55" s="35">
        <f>+'Data Overview'!E24</f>
        <v>10.5115807825606</v>
      </c>
      <c r="D55" s="35">
        <f>+'Data Overview'!F24</f>
        <v>7.2011863145852999</v>
      </c>
      <c r="E55" s="43" t="s">
        <v>495</v>
      </c>
    </row>
    <row r="56" spans="1:5" x14ac:dyDescent="0.2">
      <c r="A56" s="34" t="s">
        <v>167</v>
      </c>
      <c r="B56" s="35">
        <f>+'Data Overview'!D27</f>
        <v>8.2647629762662902</v>
      </c>
      <c r="C56" s="35">
        <f>+'Data Overview'!E27</f>
        <v>9.6349198204609703</v>
      </c>
      <c r="D56" s="35">
        <f>+'Data Overview'!F27</f>
        <v>6.71826330728382</v>
      </c>
    </row>
    <row r="57" spans="1:5" x14ac:dyDescent="0.2">
      <c r="A57" s="34" t="s">
        <v>168</v>
      </c>
      <c r="B57" s="35">
        <f>+'Data Overview'!D39</f>
        <v>4.82486774947039</v>
      </c>
      <c r="C57" s="35">
        <f>+'Data Overview'!E39</f>
        <v>5.9928775697612799</v>
      </c>
      <c r="D57" s="35">
        <f>+'Data Overview'!F39</f>
        <v>4.0231104332072603</v>
      </c>
      <c r="E57" s="43" t="s">
        <v>496</v>
      </c>
    </row>
    <row r="58" spans="1:5" x14ac:dyDescent="0.2">
      <c r="A58" s="38" t="s">
        <v>169</v>
      </c>
      <c r="B58" s="35">
        <f>+'Data Overview'!D144</f>
        <v>7.5307581200852403E-2</v>
      </c>
      <c r="C58" s="35">
        <f>+'Data Overview'!E144</f>
        <v>8.4640803557457497E-2</v>
      </c>
      <c r="D58" s="35">
        <f>+'Data Overview'!F144</f>
        <v>8.7493134739818998E-2</v>
      </c>
      <c r="E58" s="43" t="s">
        <v>497</v>
      </c>
    </row>
    <row r="59" spans="1:5" x14ac:dyDescent="0.2">
      <c r="A59" s="34" t="s">
        <v>170</v>
      </c>
      <c r="B59" s="35">
        <f>+'Data Overview'!D134</f>
        <v>0.16855978033399699</v>
      </c>
      <c r="C59" s="35">
        <f>+'Data Overview'!E134</f>
        <v>0.23940352079116001</v>
      </c>
      <c r="D59" s="35">
        <f>+'Data Overview'!F134</f>
        <v>0.15245197990127199</v>
      </c>
    </row>
    <row r="60" spans="1:5" x14ac:dyDescent="0.2">
      <c r="A60" s="38" t="s">
        <v>171</v>
      </c>
      <c r="B60" s="35">
        <f>+'Data Overview'!D43</f>
        <v>4.3947762982698597</v>
      </c>
      <c r="C60" s="35">
        <f>+'Data Overview'!E43</f>
        <v>5.8736494396050798</v>
      </c>
      <c r="D60" s="35">
        <f>+'Data Overview'!F43</f>
        <v>3.7356657907661002</v>
      </c>
    </row>
    <row r="61" spans="1:5" x14ac:dyDescent="0.2">
      <c r="A61" s="34" t="s">
        <v>172</v>
      </c>
      <c r="B61" s="35">
        <f>+'Data Overview'!D88</f>
        <v>0.963501785191066</v>
      </c>
      <c r="C61" s="35">
        <f>+'Data Overview'!E88</f>
        <v>0.98660892822741297</v>
      </c>
      <c r="D61" s="35">
        <f>+'Data Overview'!F88</f>
        <v>1.11691510416589</v>
      </c>
      <c r="E61" s="43" t="s">
        <v>498</v>
      </c>
    </row>
    <row r="62" spans="1:5" x14ac:dyDescent="0.2">
      <c r="A62" s="38" t="s">
        <v>173</v>
      </c>
      <c r="B62" s="35">
        <f>+'Data Overview'!D10</f>
        <v>33.946939279992499</v>
      </c>
      <c r="C62" s="35">
        <f>+'Data Overview'!E10</f>
        <v>43.224289171946303</v>
      </c>
      <c r="D62" s="35">
        <f>+'Data Overview'!F10</f>
        <v>29.004232727423801</v>
      </c>
    </row>
    <row r="63" spans="1:5" x14ac:dyDescent="0.2">
      <c r="A63" s="38" t="s">
        <v>174</v>
      </c>
      <c r="B63" s="35">
        <f>+'Data Overview'!D106</f>
        <v>0.646617130692133</v>
      </c>
      <c r="C63" s="35">
        <f>+'Data Overview'!E106</f>
        <v>0.96705476028075799</v>
      </c>
      <c r="D63" s="35">
        <f>+'Data Overview'!F106</f>
        <v>0.63689581630124603</v>
      </c>
      <c r="E63" s="43" t="s">
        <v>499</v>
      </c>
    </row>
    <row r="64" spans="1:5" x14ac:dyDescent="0.2">
      <c r="A64" s="34" t="s">
        <v>175</v>
      </c>
      <c r="B64" s="35">
        <f>+'Data Overview'!D6</f>
        <v>67.087907612342207</v>
      </c>
      <c r="C64" s="35">
        <f>+'Data Overview'!E6</f>
        <v>81.638091203831706</v>
      </c>
      <c r="D64" s="35">
        <f>+'Data Overview'!F6</f>
        <v>57.1604708437875</v>
      </c>
    </row>
    <row r="65" spans="1:5" x14ac:dyDescent="0.2">
      <c r="A65" s="38" t="s">
        <v>176</v>
      </c>
      <c r="B65" s="35">
        <f>+'Data Overview'!D37</f>
        <v>5.1498562784228197</v>
      </c>
      <c r="C65" s="35">
        <f>+'Data Overview'!E37</f>
        <v>6.2831557938715701</v>
      </c>
      <c r="D65" s="35">
        <f>+'Data Overview'!F37</f>
        <v>4.2562896911300596</v>
      </c>
      <c r="E65" s="43" t="s">
        <v>500</v>
      </c>
    </row>
    <row r="66" spans="1:5" x14ac:dyDescent="0.2">
      <c r="A66" s="38" t="s">
        <v>177</v>
      </c>
      <c r="B66" s="35">
        <f>+'Data Overview'!D19</f>
        <v>11.0613684316292</v>
      </c>
      <c r="C66" s="35">
        <f>+'Data Overview'!E19</f>
        <v>13.8142490894388</v>
      </c>
      <c r="D66" s="35">
        <f>+'Data Overview'!F19</f>
        <v>9.46465993741589</v>
      </c>
    </row>
    <row r="67" spans="1:5" x14ac:dyDescent="0.2">
      <c r="A67" s="38" t="s">
        <v>178</v>
      </c>
      <c r="B67" s="35">
        <f>+'Data Overview'!D29</f>
        <v>7.8359945391807102</v>
      </c>
      <c r="C67" s="35">
        <f>+'Data Overview'!E29</f>
        <v>8.8540179632201994</v>
      </c>
      <c r="D67" s="35">
        <f>+'Data Overview'!F29</f>
        <v>6.1812761994916698</v>
      </c>
      <c r="E67" s="43" t="s">
        <v>501</v>
      </c>
    </row>
    <row r="68" spans="1:5" x14ac:dyDescent="0.2">
      <c r="A68" s="34" t="s">
        <v>179</v>
      </c>
      <c r="B68" s="35">
        <f>+'Data Overview'!D13</f>
        <v>22.458273633181602</v>
      </c>
      <c r="C68" s="35">
        <f>+'Data Overview'!E13</f>
        <v>28.171668635998302</v>
      </c>
      <c r="D68" s="35">
        <f>+'Data Overview'!F13</f>
        <v>19.354087585110999</v>
      </c>
    </row>
    <row r="69" spans="1:5" x14ac:dyDescent="0.2">
      <c r="A69" s="34" t="s">
        <v>180</v>
      </c>
      <c r="B69" s="35">
        <f>+'Data Overview'!D68</f>
        <v>1.5573752330330299</v>
      </c>
      <c r="C69" s="35">
        <f>+'Data Overview'!E68</f>
        <v>2.0252184111086402</v>
      </c>
      <c r="D69" s="35">
        <f>+'Data Overview'!F68</f>
        <v>2.1014393885214999</v>
      </c>
      <c r="E69" s="43" t="s">
        <v>502</v>
      </c>
    </row>
    <row r="70" spans="1:5" x14ac:dyDescent="0.2">
      <c r="A70" s="38" t="s">
        <v>181</v>
      </c>
      <c r="B70" s="35">
        <f>+'Data Overview'!D127</f>
        <v>0.26670611099392499</v>
      </c>
      <c r="C70" s="35">
        <f>+'Data Overview'!E127</f>
        <v>0.35157997277702102</v>
      </c>
      <c r="D70" s="35">
        <f>+'Data Overview'!F127</f>
        <v>0.22316764692354099</v>
      </c>
      <c r="E70" s="43" t="s">
        <v>503</v>
      </c>
    </row>
    <row r="71" spans="1:5" x14ac:dyDescent="0.2">
      <c r="A71" s="34" t="s">
        <v>182</v>
      </c>
      <c r="B71" s="35">
        <f>+'Data Overview'!D47</f>
        <v>3.8494981311887502</v>
      </c>
      <c r="C71" s="35">
        <f>+'Data Overview'!E47</f>
        <v>4.9941922549609901</v>
      </c>
      <c r="D71" s="35">
        <f>+'Data Overview'!F47</f>
        <v>3.2575412368151202</v>
      </c>
    </row>
    <row r="72" spans="1:5" x14ac:dyDescent="0.2">
      <c r="A72" s="38" t="s">
        <v>184</v>
      </c>
      <c r="B72" s="35">
        <f>+'Data Overview'!D92</f>
        <v>0.90056055687048497</v>
      </c>
      <c r="C72" s="35">
        <f>+'Data Overview'!E92</f>
        <v>1.07058541024789</v>
      </c>
      <c r="D72" s="35">
        <f>+'Data Overview'!F92</f>
        <v>0.64908020944459199</v>
      </c>
      <c r="E72" s="43" t="s">
        <v>504</v>
      </c>
    </row>
    <row r="73" spans="1:5" x14ac:dyDescent="0.2">
      <c r="A73" s="38" t="s">
        <v>185</v>
      </c>
      <c r="B73" s="35">
        <f>+'Data Overview'!D50</f>
        <v>3.65012537925745</v>
      </c>
      <c r="C73" s="35">
        <f>+'Data Overview'!E50</f>
        <v>4.6925591513358098</v>
      </c>
      <c r="D73" s="35">
        <f>+'Data Overview'!F50</f>
        <v>3.2226788432177602</v>
      </c>
    </row>
    <row r="74" spans="1:5" x14ac:dyDescent="0.2">
      <c r="A74" s="38" t="s">
        <v>186</v>
      </c>
      <c r="B74" s="35">
        <f>+'Data Overview'!D80</f>
        <v>1.2381723538371301</v>
      </c>
      <c r="C74" s="35">
        <f>+'Data Overview'!E80</f>
        <v>1.4945561659609701</v>
      </c>
      <c r="D74" s="35">
        <f>+'Data Overview'!F80</f>
        <v>1.02256578156692</v>
      </c>
      <c r="E74" s="43" t="s">
        <v>505</v>
      </c>
    </row>
    <row r="75" spans="1:5" x14ac:dyDescent="0.2">
      <c r="A75" s="34" t="s">
        <v>187</v>
      </c>
      <c r="B75" s="35">
        <f>+'Data Overview'!D20</f>
        <v>10.841712216597999</v>
      </c>
      <c r="C75" s="35">
        <f>+'Data Overview'!E20</f>
        <v>13.2976937724489</v>
      </c>
      <c r="D75" s="35">
        <f>+'Data Overview'!F20</f>
        <v>8.8883908702574104</v>
      </c>
    </row>
    <row r="76" spans="1:5" x14ac:dyDescent="0.2">
      <c r="A76" s="38" t="s">
        <v>188</v>
      </c>
      <c r="B76" s="35">
        <f>+'Data Overview'!D79</f>
        <v>1.2901467957833299</v>
      </c>
      <c r="C76" s="35">
        <f>+'Data Overview'!E79</f>
        <v>1.5778136193271599</v>
      </c>
      <c r="D76" s="35">
        <f>+'Data Overview'!F79</f>
        <v>1.23341020856919</v>
      </c>
    </row>
    <row r="77" spans="1:5" x14ac:dyDescent="0.2">
      <c r="A77" s="34" t="s">
        <v>189</v>
      </c>
      <c r="B77" s="35">
        <f>+'Data Overview'!D109</f>
        <v>0.53476385106203195</v>
      </c>
      <c r="C77" s="35">
        <f>+'Data Overview'!E109</f>
        <v>0.61586072598813502</v>
      </c>
      <c r="D77" s="35">
        <f>+'Data Overview'!F109</f>
        <v>0.40253019130588302</v>
      </c>
      <c r="E77" s="43" t="s">
        <v>506</v>
      </c>
    </row>
    <row r="78" spans="1:5" x14ac:dyDescent="0.2">
      <c r="A78" s="38" t="s">
        <v>190</v>
      </c>
      <c r="B78" s="35">
        <f>+'Data Overview'!D108</f>
        <v>0.60466205447023103</v>
      </c>
      <c r="C78" s="35">
        <f>+'Data Overview'!E108</f>
        <v>0.72173200958147998</v>
      </c>
      <c r="D78" s="35">
        <f>+'Data Overview'!F108</f>
        <v>0.49223333093462202</v>
      </c>
    </row>
    <row r="79" spans="1:5" x14ac:dyDescent="0.2">
      <c r="A79" s="38" t="s">
        <v>191</v>
      </c>
      <c r="B79" s="35">
        <f>+'Data Overview'!D73</f>
        <v>1.4931627925236901</v>
      </c>
      <c r="C79" s="35">
        <f>+'Data Overview'!E73</f>
        <v>1.7978288065379</v>
      </c>
      <c r="D79" s="35">
        <f>+'Data Overview'!F73</f>
        <v>1.27694409568336</v>
      </c>
      <c r="E79" s="43" t="s">
        <v>507</v>
      </c>
    </row>
    <row r="80" spans="1:5" x14ac:dyDescent="0.2">
      <c r="A80" s="38" t="s">
        <v>193</v>
      </c>
      <c r="B80" s="35">
        <f>+'Data Overview'!D102</f>
        <v>0.37455188108987703</v>
      </c>
      <c r="C80" s="35">
        <f>+'Data Overview'!E102</f>
        <v>0.37008097325056999</v>
      </c>
      <c r="D80" s="35">
        <f>+'Data Overview'!F102</f>
        <v>0.38346602155825799</v>
      </c>
    </row>
    <row r="81" spans="1:5" x14ac:dyDescent="0.2">
      <c r="A81" s="34" t="s">
        <v>194</v>
      </c>
      <c r="B81" s="35">
        <f>+'Data Overview'!D75</f>
        <v>0.75661443183209198</v>
      </c>
      <c r="C81" s="35">
        <f>+'Data Overview'!E75</f>
        <v>0.82397134125261495</v>
      </c>
      <c r="D81" s="35">
        <f>+'Data Overview'!F75</f>
        <v>0.75374716529727803</v>
      </c>
    </row>
    <row r="82" spans="1:5" x14ac:dyDescent="0.2">
      <c r="A82" s="38" t="s">
        <v>195</v>
      </c>
      <c r="B82" s="35">
        <f>+'Data Overview'!D105</f>
        <v>0.34273594648802203</v>
      </c>
      <c r="C82" s="35">
        <f>+'Data Overview'!E105</f>
        <v>0.37231685007066001</v>
      </c>
      <c r="D82" s="35">
        <f>+'Data Overview'!F105</f>
        <v>0.35177560790395002</v>
      </c>
      <c r="E82" s="43" t="s">
        <v>508</v>
      </c>
    </row>
    <row r="83" spans="1:5" x14ac:dyDescent="0.2">
      <c r="A83" s="34" t="s">
        <v>196</v>
      </c>
      <c r="B83" s="35">
        <f>+'Data Overview'!D90</f>
        <v>0.484014448095553</v>
      </c>
      <c r="C83" s="35">
        <f>+'Data Overview'!E90</f>
        <v>0.51845739834660698</v>
      </c>
      <c r="D83" s="35">
        <f>+'Data Overview'!F90</f>
        <v>0.45834366540314903</v>
      </c>
      <c r="E83" s="43" t="s">
        <v>509</v>
      </c>
    </row>
    <row r="84" spans="1:5" x14ac:dyDescent="0.2">
      <c r="A84" s="38" t="s">
        <v>197</v>
      </c>
      <c r="B84" s="35">
        <f>+'Data Overview'!D74</f>
        <v>0.75797751316972695</v>
      </c>
      <c r="C84" s="35">
        <f>+'Data Overview'!E74</f>
        <v>0.93440922329374099</v>
      </c>
      <c r="D84" s="35">
        <f>+'Data Overview'!F74</f>
        <v>0.92598634866991303</v>
      </c>
    </row>
    <row r="85" spans="1:5" x14ac:dyDescent="0.2">
      <c r="A85" s="34" t="s">
        <v>198</v>
      </c>
      <c r="B85" s="35">
        <f>+'Data Overview'!D52</f>
        <v>1.81157937499</v>
      </c>
      <c r="C85" s="35">
        <f>+'Data Overview'!E52</f>
        <v>1.9435796941385901</v>
      </c>
      <c r="D85" s="35">
        <f>+'Data Overview'!F52</f>
        <v>1.9686482822740501</v>
      </c>
    </row>
    <row r="86" spans="1:5" x14ac:dyDescent="0.2">
      <c r="A86" s="38" t="s">
        <v>200</v>
      </c>
      <c r="B86" s="35">
        <f>+'Data Overview'!D101</f>
        <v>0.38303253405919102</v>
      </c>
      <c r="C86" s="35">
        <f>+'Data Overview'!E101</f>
        <v>0.390265161055107</v>
      </c>
      <c r="D86" s="35">
        <f>+'Data Overview'!F101</f>
        <v>0.382010537607614</v>
      </c>
      <c r="E86" s="43" t="s">
        <v>510</v>
      </c>
    </row>
    <row r="87" spans="1:5" x14ac:dyDescent="0.2">
      <c r="A87" s="34" t="s">
        <v>201</v>
      </c>
      <c r="B87" s="35">
        <f>+'Data Overview'!D97</f>
        <v>0.41902742599151999</v>
      </c>
      <c r="C87" s="35">
        <f>+'Data Overview'!E97</f>
        <v>0.42922820715031701</v>
      </c>
      <c r="D87" s="35">
        <f>+'Data Overview'!F97</f>
        <v>0.310083473600473</v>
      </c>
    </row>
    <row r="88" spans="1:5" x14ac:dyDescent="0.2">
      <c r="A88" s="38" t="s">
        <v>202</v>
      </c>
      <c r="B88" s="35">
        <f>+'Data Overview'!D58</f>
        <v>1.4874322901505299</v>
      </c>
      <c r="C88" s="35">
        <f>+'Data Overview'!E58</f>
        <v>1.5270549784529599</v>
      </c>
      <c r="D88" s="35">
        <f>+'Data Overview'!F58</f>
        <v>1.55387728386179</v>
      </c>
      <c r="E88" s="43" t="s">
        <v>511</v>
      </c>
    </row>
    <row r="89" spans="1:5" x14ac:dyDescent="0.2">
      <c r="A89" s="38" t="s">
        <v>203</v>
      </c>
      <c r="B89" s="35">
        <f>+'Data Overview'!D76</f>
        <v>0.67119064280032603</v>
      </c>
      <c r="C89" s="35">
        <f>+'Data Overview'!E76</f>
        <v>0.73259594169709497</v>
      </c>
      <c r="D89" s="35">
        <f>+'Data Overview'!F76</f>
        <v>0.67090579325364497</v>
      </c>
    </row>
    <row r="90" spans="1:5" x14ac:dyDescent="0.2">
      <c r="A90" s="34" t="s">
        <v>204</v>
      </c>
      <c r="B90" s="35">
        <f>+'Data Overview'!D100</f>
        <v>0.39867890866985201</v>
      </c>
      <c r="C90" s="35">
        <f>+'Data Overview'!E100</f>
        <v>0.445263313126816</v>
      </c>
      <c r="D90" s="35">
        <f>+'Data Overview'!F100</f>
        <v>0.44668222622836001</v>
      </c>
      <c r="E90" s="43" t="s">
        <v>512</v>
      </c>
    </row>
    <row r="91" spans="1:5" x14ac:dyDescent="0.2">
      <c r="A91" s="38" t="s">
        <v>205</v>
      </c>
      <c r="B91" s="35">
        <f>+'Data Overview'!D45</f>
        <v>2.1649461666459802</v>
      </c>
      <c r="C91" s="35">
        <f>+'Data Overview'!E45</f>
        <v>2.2544411729564202</v>
      </c>
      <c r="D91" s="35">
        <f>+'Data Overview'!F45</f>
        <v>2.1425353592528502</v>
      </c>
      <c r="E91" s="43" t="s">
        <v>513</v>
      </c>
    </row>
    <row r="92" spans="1:5" x14ac:dyDescent="0.2">
      <c r="A92" s="34" t="s">
        <v>206</v>
      </c>
      <c r="B92" s="35">
        <f>+'Data Overview'!D70</f>
        <v>0.78984836744695197</v>
      </c>
      <c r="C92" s="35">
        <f>+'Data Overview'!E70</f>
        <v>0.803282900598283</v>
      </c>
      <c r="D92" s="35">
        <f>+'Data Overview'!F70</f>
        <v>0.79732850801236099</v>
      </c>
    </row>
    <row r="93" spans="1:5" x14ac:dyDescent="0.2">
      <c r="A93" s="38" t="s">
        <v>207</v>
      </c>
      <c r="B93" s="35">
        <f>+'Data Overview'!D34</f>
        <v>2.99163310323708</v>
      </c>
      <c r="C93" s="35">
        <f>+'Data Overview'!E34</f>
        <v>3.3556498910853501</v>
      </c>
      <c r="D93" s="35">
        <f>+'Data Overview'!F34</f>
        <v>3.1142125174709001</v>
      </c>
    </row>
    <row r="94" spans="1:5" x14ac:dyDescent="0.2">
      <c r="A94" s="34" t="s">
        <v>208</v>
      </c>
      <c r="B94" s="35">
        <f>+'Data Overview'!D87</f>
        <v>0.52243858272586896</v>
      </c>
      <c r="C94" s="35">
        <f>+'Data Overview'!E87</f>
        <v>0.54469932063767001</v>
      </c>
      <c r="D94" s="35">
        <f>+'Data Overview'!F87</f>
        <v>0.49026455692627002</v>
      </c>
      <c r="E94" s="43" t="s">
        <v>514</v>
      </c>
    </row>
    <row r="95" spans="1:5" x14ac:dyDescent="0.2">
      <c r="A95" s="38" t="s">
        <v>209</v>
      </c>
      <c r="B95" s="35">
        <f>+'Data Overview'!D104</f>
        <v>0.36353818388178499</v>
      </c>
      <c r="C95" s="35">
        <f>+'Data Overview'!E104</f>
        <v>0.384660289163546</v>
      </c>
      <c r="D95" s="35">
        <f>+'Data Overview'!F104</f>
        <v>0.39876842444548</v>
      </c>
    </row>
    <row r="96" spans="1:5" x14ac:dyDescent="0.2">
      <c r="A96" s="38" t="s">
        <v>210</v>
      </c>
      <c r="B96" s="35">
        <f>+'Data Overview'!D21</f>
        <v>5.2918869568339204</v>
      </c>
      <c r="C96" s="35">
        <f>+'Data Overview'!E21</f>
        <v>5.6309090222441496</v>
      </c>
      <c r="D96" s="35">
        <f>+'Data Overview'!F21</f>
        <v>5.3346636603844102</v>
      </c>
      <c r="E96" s="43" t="s">
        <v>515</v>
      </c>
    </row>
    <row r="97" spans="1:5" x14ac:dyDescent="0.2">
      <c r="A97" s="38" t="s">
        <v>211</v>
      </c>
      <c r="B97" s="35">
        <f>+'Data Overview'!D78</f>
        <v>0.66777982906929301</v>
      </c>
      <c r="C97" s="35">
        <f>+'Data Overview'!E78</f>
        <v>0.70050758446385097</v>
      </c>
      <c r="D97" s="35">
        <f>+'Data Overview'!F78</f>
        <v>0.66826232170271105</v>
      </c>
    </row>
    <row r="98" spans="1:5" x14ac:dyDescent="0.2">
      <c r="A98" s="38" t="s">
        <v>212</v>
      </c>
      <c r="B98" s="35">
        <f>+'Data Overview'!D41</f>
        <v>2.4254470501065999</v>
      </c>
      <c r="C98" s="35">
        <f>+'Data Overview'!E41</f>
        <v>2.57271400493183</v>
      </c>
      <c r="D98" s="35">
        <f>+'Data Overview'!F41</f>
        <v>2.2183413055868999</v>
      </c>
      <c r="E98" s="43" t="s">
        <v>516</v>
      </c>
    </row>
    <row r="99" spans="1:5" x14ac:dyDescent="0.2">
      <c r="A99" s="38" t="s">
        <v>213</v>
      </c>
      <c r="B99" s="35">
        <f>+'Data Overview'!D71</f>
        <v>0.78844344835550895</v>
      </c>
      <c r="C99" s="35">
        <f>+'Data Overview'!E71</f>
        <v>0.81380979196226799</v>
      </c>
      <c r="D99" s="35">
        <f>+'Data Overview'!F71</f>
        <v>0.79674183146002697</v>
      </c>
      <c r="E99" s="43" t="s">
        <v>517</v>
      </c>
    </row>
    <row r="100" spans="1:5" x14ac:dyDescent="0.2">
      <c r="A100" s="34" t="s">
        <v>214</v>
      </c>
      <c r="B100" s="35">
        <f>+'Data Overview'!D72</f>
        <v>0.77784721386581201</v>
      </c>
      <c r="C100" s="35">
        <f>+'Data Overview'!E72</f>
        <v>0.78789313824606799</v>
      </c>
      <c r="D100" s="35">
        <f>+'Data Overview'!F72</f>
        <v>0.822062225838597</v>
      </c>
    </row>
    <row r="101" spans="1:5" x14ac:dyDescent="0.2">
      <c r="A101" s="38" t="s">
        <v>215</v>
      </c>
      <c r="B101" s="35">
        <f>+'Data Overview'!D122</f>
        <v>0.17283334666994801</v>
      </c>
      <c r="C101" s="35">
        <f>+'Data Overview'!E122</f>
        <v>0.18510152657862</v>
      </c>
      <c r="D101" s="35">
        <f>+'Data Overview'!F122</f>
        <v>0.16953186343151899</v>
      </c>
    </row>
    <row r="102" spans="1:5" x14ac:dyDescent="0.2">
      <c r="A102" s="34" t="s">
        <v>389</v>
      </c>
      <c r="B102" s="35">
        <f>+'Data Overview'!D42</f>
        <v>2.2770359738244799</v>
      </c>
      <c r="C102" s="35">
        <f>+'Data Overview'!E42</f>
        <v>2.6969559570080102</v>
      </c>
      <c r="D102" s="35">
        <f>+'Data Overview'!F42</f>
        <v>2.3380761793442799</v>
      </c>
      <c r="E102" s="43" t="s">
        <v>518</v>
      </c>
    </row>
    <row r="103" spans="1:5" x14ac:dyDescent="0.2">
      <c r="A103" s="38" t="s">
        <v>216</v>
      </c>
      <c r="B103" s="35">
        <f>+'Data Overview'!D91</f>
        <v>0.48066947088818801</v>
      </c>
      <c r="C103" s="35">
        <f>+'Data Overview'!E91</f>
        <v>0.52000542157491203</v>
      </c>
      <c r="D103" s="35">
        <f>+'Data Overview'!F91</f>
        <v>0.51871568363616205</v>
      </c>
    </row>
    <row r="104" spans="1:5" x14ac:dyDescent="0.2">
      <c r="A104" s="38" t="s">
        <v>217</v>
      </c>
      <c r="B104" s="35">
        <f>+'Data Overview'!D36</f>
        <v>2.7264866434162598</v>
      </c>
      <c r="C104" s="35">
        <f>+'Data Overview'!E36</f>
        <v>3.0246520241323198</v>
      </c>
      <c r="D104" s="35">
        <f>+'Data Overview'!F36</f>
        <v>3.0677533660281502</v>
      </c>
      <c r="E104" s="43" t="s">
        <v>519</v>
      </c>
    </row>
    <row r="105" spans="1:5" x14ac:dyDescent="0.2">
      <c r="A105" s="38" t="s">
        <v>218</v>
      </c>
      <c r="B105" s="35">
        <f>+'Data Overview'!D114</f>
        <v>0.205682265171409</v>
      </c>
      <c r="C105" s="35">
        <f>+'Data Overview'!E114</f>
        <v>0.218976440534281</v>
      </c>
      <c r="D105" s="35">
        <f>+'Data Overview'!F114</f>
        <v>0.20323347050207799</v>
      </c>
    </row>
    <row r="106" spans="1:5" x14ac:dyDescent="0.2">
      <c r="A106" s="34" t="s">
        <v>219</v>
      </c>
      <c r="B106" s="35">
        <f>+'Data Overview'!D65</f>
        <v>1.05677774985499</v>
      </c>
      <c r="C106" s="35">
        <f>+'Data Overview'!E65</f>
        <v>1.12072765379498</v>
      </c>
      <c r="D106" s="35">
        <f>+'Data Overview'!F65</f>
        <v>1.06501115487791</v>
      </c>
      <c r="E106" s="43" t="s">
        <v>520</v>
      </c>
    </row>
    <row r="107" spans="1:5" x14ac:dyDescent="0.2">
      <c r="A107" s="34" t="s">
        <v>220</v>
      </c>
      <c r="B107" s="35">
        <f>+'Data Overview'!D112</f>
        <v>0.48562746232722098</v>
      </c>
      <c r="C107" s="35">
        <f>+'Data Overview'!E112</f>
        <v>0.455349707566918</v>
      </c>
      <c r="D107" s="35">
        <f>+'Data Overview'!F112</f>
        <v>0.42662510269349002</v>
      </c>
    </row>
    <row r="108" spans="1:5" x14ac:dyDescent="0.2">
      <c r="A108" s="38" t="s">
        <v>221</v>
      </c>
      <c r="B108" s="35">
        <f>+'Data Overview'!D84</f>
        <v>1.2275655986430101</v>
      </c>
      <c r="C108" s="35">
        <f>+'Data Overview'!E84</f>
        <v>1.28226366464235</v>
      </c>
      <c r="D108" s="35">
        <f>+'Data Overview'!F84</f>
        <v>0.65701035141928799</v>
      </c>
    </row>
    <row r="109" spans="1:5" x14ac:dyDescent="0.2">
      <c r="A109" s="34" t="s">
        <v>222</v>
      </c>
      <c r="B109" s="35">
        <f>+'Data Overview'!D59</f>
        <v>2.9205200882792899</v>
      </c>
      <c r="C109" s="35">
        <f>+'Data Overview'!E59</f>
        <v>2.7833105398234999</v>
      </c>
      <c r="D109" s="35">
        <f>+'Data Overview'!F59</f>
        <v>2.4956062231462699</v>
      </c>
    </row>
    <row r="110" spans="1:5" x14ac:dyDescent="0.2">
      <c r="A110" s="34" t="s">
        <v>223</v>
      </c>
      <c r="B110" s="35">
        <f>+'Data Overview'!D66</f>
        <v>1.8216248931760499</v>
      </c>
      <c r="C110" s="35">
        <f>+'Data Overview'!E66</f>
        <v>1.7431766700887801</v>
      </c>
      <c r="D110" s="35">
        <f>+'Data Overview'!F66</f>
        <v>1.68117914286505</v>
      </c>
    </row>
    <row r="111" spans="1:5" x14ac:dyDescent="0.2">
      <c r="A111" s="38" t="s">
        <v>224</v>
      </c>
      <c r="B111" s="35">
        <f>+'Data Overview'!D33</f>
        <v>6.8955527638841803</v>
      </c>
      <c r="C111" s="35">
        <f>+'Data Overview'!E33</f>
        <v>6.2812345774939997</v>
      </c>
      <c r="D111" s="35">
        <f>+'Data Overview'!F33</f>
        <v>5.8362435812475804</v>
      </c>
    </row>
    <row r="112" spans="1:5" x14ac:dyDescent="0.2">
      <c r="A112" s="38" t="s">
        <v>225</v>
      </c>
      <c r="B112" s="35">
        <f>+'Data Overview'!D85</f>
        <v>1.1354086079394199</v>
      </c>
      <c r="C112" s="35">
        <f>+'Data Overview'!E85</f>
        <v>1.0003511818583799</v>
      </c>
      <c r="D112" s="35">
        <f>+'Data Overview'!F85</f>
        <v>1.05765112584175</v>
      </c>
    </row>
    <row r="113" spans="1:4" x14ac:dyDescent="0.2">
      <c r="A113" s="38" t="s">
        <v>226</v>
      </c>
      <c r="B113" s="35">
        <f>+'Data Overview'!D60</f>
        <v>2.7574966765745899</v>
      </c>
      <c r="C113" s="35">
        <f>+'Data Overview'!E60</f>
        <v>2.7448832177079701</v>
      </c>
      <c r="D113" s="35">
        <f>+'Data Overview'!F60</f>
        <v>2.4958747681276598</v>
      </c>
    </row>
    <row r="114" spans="1:4" x14ac:dyDescent="0.2">
      <c r="A114" s="38" t="s">
        <v>227</v>
      </c>
      <c r="B114" s="35">
        <f>+'Data Overview'!D57</f>
        <v>3.1588430339786302</v>
      </c>
      <c r="C114" s="35">
        <f>+'Data Overview'!E57</f>
        <v>2.8857083486634201</v>
      </c>
      <c r="D114" s="35">
        <f>+'Data Overview'!F57</f>
        <v>2.6876227478992898</v>
      </c>
    </row>
    <row r="115" spans="1:4" x14ac:dyDescent="0.2">
      <c r="A115" s="38" t="s">
        <v>228</v>
      </c>
      <c r="B115" s="35">
        <f>+'Data Overview'!D16</f>
        <v>16.876153666178499</v>
      </c>
      <c r="C115" s="35">
        <f>+'Data Overview'!E16</f>
        <v>15.9917250468894</v>
      </c>
      <c r="D115" s="35">
        <f>+'Data Overview'!F16</f>
        <v>14.6099769573659</v>
      </c>
    </row>
    <row r="116" spans="1:4" x14ac:dyDescent="0.2">
      <c r="A116" s="38" t="s">
        <v>229</v>
      </c>
      <c r="B116" s="35">
        <f>+'Data Overview'!D93</f>
        <v>0.97474248444469702</v>
      </c>
      <c r="C116" s="35">
        <f>+'Data Overview'!E93</f>
        <v>0.88531879027180604</v>
      </c>
      <c r="D116" s="35">
        <f>+'Data Overview'!F93</f>
        <v>0.92363411817319396</v>
      </c>
    </row>
    <row r="117" spans="1:4" x14ac:dyDescent="0.2">
      <c r="A117" s="38" t="s">
        <v>230</v>
      </c>
      <c r="B117" s="35">
        <f>+'Data Overview'!D98</f>
        <v>0.87083535609491003</v>
      </c>
      <c r="C117" s="35">
        <f>+'Data Overview'!E98</f>
        <v>0.79709132302220498</v>
      </c>
      <c r="D117" s="35">
        <f>+'Data Overview'!F98</f>
        <v>0.66237400055389495</v>
      </c>
    </row>
    <row r="118" spans="1:4" x14ac:dyDescent="0.2">
      <c r="A118" s="38" t="s">
        <v>231</v>
      </c>
      <c r="B118" s="35">
        <f>+'Data Overview'!D81</f>
        <v>1.33965155731421</v>
      </c>
      <c r="C118" s="35">
        <f>+'Data Overview'!E81</f>
        <v>1.3742617812592499</v>
      </c>
      <c r="D118" s="35">
        <f>+'Data Overview'!F81</f>
        <v>1.11849527150479</v>
      </c>
    </row>
    <row r="119" spans="1:4" x14ac:dyDescent="0.2">
      <c r="A119" s="38" t="s">
        <v>232</v>
      </c>
      <c r="B119" s="35">
        <f>+'Data Overview'!D118</f>
        <v>0.38921455381495601</v>
      </c>
      <c r="C119" s="35">
        <f>+'Data Overview'!E118</f>
        <v>0.38034774988956399</v>
      </c>
      <c r="D119" s="35">
        <f>+'Data Overview'!F118</f>
        <v>0.38684178537636299</v>
      </c>
    </row>
    <row r="120" spans="1:4" x14ac:dyDescent="0.2">
      <c r="A120" s="38" t="s">
        <v>233</v>
      </c>
      <c r="B120" s="35">
        <f>+'Data Overview'!D119</f>
        <v>0.38649122229083799</v>
      </c>
      <c r="C120" s="35">
        <f>+'Data Overview'!E119</f>
        <v>0.33650256019432001</v>
      </c>
      <c r="D120" s="35">
        <f>+'Data Overview'!F119</f>
        <v>0.50561385642282997</v>
      </c>
    </row>
    <row r="121" spans="1:4" x14ac:dyDescent="0.2">
      <c r="A121" s="38" t="s">
        <v>86</v>
      </c>
      <c r="B121" s="35">
        <f>+'Data Overview'!D155</f>
        <v>8.5787673810334298E-3</v>
      </c>
      <c r="C121" s="35">
        <f>+'Data Overview'!E155</f>
        <v>1.5135199458592799E-2</v>
      </c>
      <c r="D121" s="35">
        <f>+'Data Overview'!F155</f>
        <v>1.1831125225290499E-2</v>
      </c>
    </row>
    <row r="122" spans="1:4" x14ac:dyDescent="0.2">
      <c r="A122" s="34" t="s">
        <v>234</v>
      </c>
      <c r="B122" s="35">
        <f>+'Data Overview'!D150</f>
        <v>4.5923810478297501E-2</v>
      </c>
      <c r="C122" s="35">
        <f>+'Data Overview'!E150</f>
        <v>4.2568798295544899E-2</v>
      </c>
      <c r="D122" s="35">
        <f>+'Data Overview'!F150</f>
        <v>3.9451297620867798E-2</v>
      </c>
    </row>
    <row r="123" spans="1:4" x14ac:dyDescent="0.2">
      <c r="A123" s="38" t="s">
        <v>235</v>
      </c>
      <c r="B123" s="35">
        <f>+'Data Overview'!D53</f>
        <v>3.96119350349989</v>
      </c>
      <c r="C123" s="35">
        <f>+'Data Overview'!E53</f>
        <v>3.6722882309918301</v>
      </c>
      <c r="D123" s="35">
        <f>+'Data Overview'!F53</f>
        <v>3.23841903408543</v>
      </c>
    </row>
    <row r="124" spans="1:4" x14ac:dyDescent="0.2">
      <c r="A124" s="38" t="s">
        <v>236</v>
      </c>
      <c r="B124" s="35">
        <f>+'Data Overview'!D129</f>
        <v>0.256919192830034</v>
      </c>
      <c r="C124" s="35">
        <f>+'Data Overview'!E129</f>
        <v>0.2422533151016</v>
      </c>
      <c r="D124" s="35">
        <f>+'Data Overview'!F129</f>
        <v>0.21711323844385699</v>
      </c>
    </row>
    <row r="125" spans="1:4" x14ac:dyDescent="0.2">
      <c r="A125" s="38" t="s">
        <v>237</v>
      </c>
      <c r="B125" s="35">
        <f>+'Data Overview'!D64</f>
        <v>2.4573980145890202</v>
      </c>
      <c r="C125" s="35">
        <f>+'Data Overview'!E64</f>
        <v>2.33016440359971</v>
      </c>
      <c r="D125" s="35">
        <f>+'Data Overview'!F64</f>
        <v>2.0796683836368302</v>
      </c>
    </row>
    <row r="126" spans="1:4" x14ac:dyDescent="0.2">
      <c r="A126" s="38" t="s">
        <v>238</v>
      </c>
      <c r="B126" s="35">
        <f>+'Data Overview'!D51</f>
        <v>4.2357305651318198</v>
      </c>
      <c r="C126" s="35">
        <f>+'Data Overview'!E51</f>
        <v>4.1076292174134297</v>
      </c>
      <c r="D126" s="35">
        <f>+'Data Overview'!F51</f>
        <v>3.80560188819608</v>
      </c>
    </row>
    <row r="127" spans="1:4" x14ac:dyDescent="0.2">
      <c r="A127" s="38" t="s">
        <v>239</v>
      </c>
      <c r="B127" s="35">
        <f>+'Data Overview'!D8</f>
        <v>47.4237580592429</v>
      </c>
      <c r="C127" s="35">
        <f>+'Data Overview'!E8</f>
        <v>43.3092377651286</v>
      </c>
      <c r="D127" s="35">
        <f>+'Data Overview'!F8</f>
        <v>40.019781140909302</v>
      </c>
    </row>
    <row r="128" spans="1:4" x14ac:dyDescent="0.2">
      <c r="A128" s="38" t="s">
        <v>240</v>
      </c>
      <c r="B128" s="35">
        <f>+'Data Overview'!D32</f>
        <v>8.2774802681394597</v>
      </c>
      <c r="C128" s="35">
        <f>+'Data Overview'!E32</f>
        <v>7.8198304448754996</v>
      </c>
      <c r="D128" s="35">
        <f>+'Data Overview'!F32</f>
        <v>6.7403237531623104</v>
      </c>
    </row>
    <row r="129" spans="1:4" x14ac:dyDescent="0.2">
      <c r="A129" s="38" t="s">
        <v>241</v>
      </c>
      <c r="B129" s="35">
        <f>+'Data Overview'!D99</f>
        <v>0.94051917948437802</v>
      </c>
      <c r="C129" s="35">
        <f>+'Data Overview'!E99</f>
        <v>0.86190091264667501</v>
      </c>
      <c r="D129" s="35">
        <f>+'Data Overview'!F99</f>
        <v>0.74897855478993602</v>
      </c>
    </row>
    <row r="130" spans="1:4" x14ac:dyDescent="0.2">
      <c r="A130" s="38" t="s">
        <v>242</v>
      </c>
      <c r="B130" s="35">
        <f>+'Data Overview'!D131</f>
        <v>0.22478812484010299</v>
      </c>
      <c r="C130" s="35">
        <f>+'Data Overview'!E131</f>
        <v>0.236159983464241</v>
      </c>
      <c r="D130" s="35">
        <f>+'Data Overview'!F131</f>
        <v>0.19832891884842699</v>
      </c>
    </row>
    <row r="131" spans="1:4" x14ac:dyDescent="0.2">
      <c r="A131" s="38" t="s">
        <v>243</v>
      </c>
      <c r="B131" s="35">
        <f>+'Data Overview'!D95</f>
        <v>0.98142000091203896</v>
      </c>
      <c r="C131" s="35">
        <f>+'Data Overview'!E95</f>
        <v>0.96364918752186202</v>
      </c>
      <c r="D131" s="35">
        <f>+'Data Overview'!F95</f>
        <v>0.92775397689092598</v>
      </c>
    </row>
    <row r="132" spans="1:4" x14ac:dyDescent="0.2">
      <c r="A132" s="38" t="s">
        <v>244</v>
      </c>
      <c r="B132" s="35">
        <f>+'Data Overview'!D25</f>
        <v>9.9470677508422796</v>
      </c>
      <c r="C132" s="35">
        <f>+'Data Overview'!E25</f>
        <v>8.8464446211085299</v>
      </c>
      <c r="D132" s="35">
        <f>+'Data Overview'!F25</f>
        <v>8.1528469541017792</v>
      </c>
    </row>
    <row r="133" spans="1:4" x14ac:dyDescent="0.2">
      <c r="A133" s="38" t="s">
        <v>245</v>
      </c>
      <c r="B133" s="35">
        <f>+'Data Overview'!D46</f>
        <v>4.8267340579319997</v>
      </c>
      <c r="C133" s="35">
        <f>+'Data Overview'!E46</f>
        <v>4.4666447037873196</v>
      </c>
      <c r="D133" s="35">
        <f>+'Data Overview'!F46</f>
        <v>4.14756000508795</v>
      </c>
    </row>
    <row r="134" spans="1:4" x14ac:dyDescent="0.2">
      <c r="A134" s="38" t="s">
        <v>246</v>
      </c>
      <c r="B134" s="35">
        <f>+'Data Overview'!D69</f>
        <v>1.8254707448034999</v>
      </c>
      <c r="C134" s="35">
        <f>+'Data Overview'!E69</f>
        <v>1.69592698826597</v>
      </c>
      <c r="D134" s="35">
        <f>+'Data Overview'!F69</f>
        <v>1.71666475654271</v>
      </c>
    </row>
    <row r="135" spans="1:4" x14ac:dyDescent="0.2">
      <c r="A135" s="38" t="s">
        <v>247</v>
      </c>
      <c r="B135" s="35">
        <f>+'Data Overview'!D121</f>
        <v>0.40565659851193397</v>
      </c>
      <c r="C135" s="35">
        <f>+'Data Overview'!E121</f>
        <v>0.50578846948834499</v>
      </c>
      <c r="D135" s="35">
        <f>+'Data Overview'!F121</f>
        <v>0.35787202126661799</v>
      </c>
    </row>
    <row r="136" spans="1:4" x14ac:dyDescent="0.2">
      <c r="A136" s="38" t="s">
        <v>248</v>
      </c>
      <c r="B136" s="35">
        <f>+'Data Overview'!D26</f>
        <v>9.9310695357592707</v>
      </c>
      <c r="C136" s="35">
        <f>+'Data Overview'!E26</f>
        <v>9.2525099373549207</v>
      </c>
      <c r="D136" s="35">
        <f>+'Data Overview'!F26</f>
        <v>8.1949761341575105</v>
      </c>
    </row>
    <row r="137" spans="1:4" x14ac:dyDescent="0.2">
      <c r="A137" s="38" t="s">
        <v>249</v>
      </c>
      <c r="B137" s="35">
        <f>+'Data Overview'!D62</f>
        <v>2.7191626039279999</v>
      </c>
      <c r="C137" s="35">
        <f>+'Data Overview'!E62</f>
        <v>2.6555825356949798</v>
      </c>
      <c r="D137" s="35">
        <f>+'Data Overview'!F62</f>
        <v>2.1867936256679501</v>
      </c>
    </row>
    <row r="138" spans="1:4" x14ac:dyDescent="0.2">
      <c r="A138" s="38" t="s">
        <v>251</v>
      </c>
      <c r="B138" s="35">
        <f>+'Data Overview'!D56</f>
        <v>3.4457546980957701</v>
      </c>
      <c r="C138" s="35">
        <f>+'Data Overview'!E56</f>
        <v>3.0170081724806801</v>
      </c>
      <c r="D138" s="35">
        <f>+'Data Overview'!F56</f>
        <v>2.7766669022200698</v>
      </c>
    </row>
    <row r="139" spans="1:4" x14ac:dyDescent="0.2">
      <c r="A139" s="38" t="s">
        <v>252</v>
      </c>
      <c r="B139" s="35">
        <f>+'Data Overview'!D123</f>
        <v>0.38173628134908599</v>
      </c>
      <c r="C139" s="35">
        <f>+'Data Overview'!E123</f>
        <v>0.37261179126784699</v>
      </c>
      <c r="D139" s="35">
        <f>+'Data Overview'!F123</f>
        <v>0.42454985423527197</v>
      </c>
    </row>
    <row r="140" spans="1:4" x14ac:dyDescent="0.2">
      <c r="A140" s="38" t="s">
        <v>253</v>
      </c>
      <c r="B140" s="35">
        <f>+'Data Overview'!D15</f>
        <v>19.415491255375301</v>
      </c>
      <c r="C140" s="35">
        <f>+'Data Overview'!E15</f>
        <v>19.1508709892836</v>
      </c>
      <c r="D140" s="35">
        <f>+'Data Overview'!F15</f>
        <v>16.542840645553401</v>
      </c>
    </row>
    <row r="141" spans="1:4" x14ac:dyDescent="0.2">
      <c r="A141" s="38" t="s">
        <v>254</v>
      </c>
      <c r="B141" s="35">
        <f>+'Data Overview'!D17</f>
        <v>16.126317668333702</v>
      </c>
      <c r="C141" s="35">
        <f>+'Data Overview'!E17</f>
        <v>14.631701084364201</v>
      </c>
      <c r="D141" s="35">
        <f>+'Data Overview'!F17</f>
        <v>13.0965273689499</v>
      </c>
    </row>
    <row r="142" spans="1:4" x14ac:dyDescent="0.2">
      <c r="A142" s="38" t="s">
        <v>255</v>
      </c>
      <c r="B142" s="35">
        <f>+'Data Overview'!D83</f>
        <v>1.3370998808938901</v>
      </c>
      <c r="C142" s="35">
        <f>+'Data Overview'!E83</f>
        <v>1.2530767322797101</v>
      </c>
      <c r="D142" s="35">
        <f>+'Data Overview'!F83</f>
        <v>1.1521652197263601</v>
      </c>
    </row>
    <row r="143" spans="1:4" x14ac:dyDescent="0.2">
      <c r="A143" s="38" t="s">
        <v>256</v>
      </c>
      <c r="B143" s="35">
        <f>+'Data Overview'!D35</f>
        <v>6.5665171317764903</v>
      </c>
      <c r="C143" s="35">
        <f>+'Data Overview'!E35</f>
        <v>5.8219348109517597</v>
      </c>
      <c r="D143" s="35">
        <f>+'Data Overview'!F35</f>
        <v>4.6680692115856299</v>
      </c>
    </row>
    <row r="144" spans="1:4" x14ac:dyDescent="0.2">
      <c r="A144" s="34" t="s">
        <v>257</v>
      </c>
      <c r="B144" s="35">
        <f>+'Data Overview'!D38</f>
        <v>5.7726249074757101</v>
      </c>
      <c r="C144" s="35">
        <f>+'Data Overview'!E38</f>
        <v>5.0253365980856701</v>
      </c>
      <c r="D144" s="35">
        <f>+'Data Overview'!F38</f>
        <v>4.7069596779685199</v>
      </c>
    </row>
    <row r="145" spans="1:4" x14ac:dyDescent="0.2">
      <c r="A145" s="34" t="s">
        <v>258</v>
      </c>
      <c r="B145" s="35">
        <f>+'Data Overview'!D115</f>
        <v>0.46114835499340101</v>
      </c>
      <c r="C145" s="35">
        <f>+'Data Overview'!E115</f>
        <v>0.41847193690972101</v>
      </c>
      <c r="D145" s="35">
        <f>+'Data Overview'!F115</f>
        <v>0.41473178069378602</v>
      </c>
    </row>
    <row r="146" spans="1:4" x14ac:dyDescent="0.2">
      <c r="A146" s="34" t="s">
        <v>259</v>
      </c>
      <c r="B146" s="35">
        <f>+'Data Overview'!D28</f>
        <v>9.3482365519979496</v>
      </c>
      <c r="C146" s="35">
        <f>+'Data Overview'!E28</f>
        <v>7.9948525455528401</v>
      </c>
      <c r="D146" s="35">
        <f>+'Data Overview'!F28</f>
        <v>6.7810690098662603</v>
      </c>
    </row>
    <row r="147" spans="1:4" x14ac:dyDescent="0.2">
      <c r="A147" s="34" t="s">
        <v>260</v>
      </c>
      <c r="B147" s="35">
        <f>+'Data Overview'!D11</f>
        <v>35.893523683256603</v>
      </c>
      <c r="C147" s="35">
        <f>+'Data Overview'!E11</f>
        <v>34.259368715616802</v>
      </c>
      <c r="D147" s="35">
        <f>+'Data Overview'!F11</f>
        <v>30.982698748183601</v>
      </c>
    </row>
    <row r="148" spans="1:4" x14ac:dyDescent="0.2">
      <c r="A148" s="34" t="s">
        <v>261</v>
      </c>
      <c r="B148" s="35">
        <f>+'Data Overview'!D14</f>
        <v>25.870509487137799</v>
      </c>
      <c r="C148" s="35">
        <f>+'Data Overview'!E14</f>
        <v>24.122594587719</v>
      </c>
      <c r="D148" s="35">
        <f>+'Data Overview'!F14</f>
        <v>21.900294715851899</v>
      </c>
    </row>
    <row r="149" spans="1:4" x14ac:dyDescent="0.2">
      <c r="A149" s="34" t="s">
        <v>262</v>
      </c>
      <c r="B149" s="35">
        <f>+'Data Overview'!D96</f>
        <v>0.97459712223357797</v>
      </c>
      <c r="C149" s="35">
        <f>+'Data Overview'!E96</f>
        <v>0.92763322415492699</v>
      </c>
      <c r="D149" s="35">
        <f>+'Data Overview'!F96</f>
        <v>1.3081893952145001</v>
      </c>
    </row>
    <row r="150" spans="1:4" x14ac:dyDescent="0.2">
      <c r="A150" s="34" t="s">
        <v>263</v>
      </c>
      <c r="B150" s="35">
        <f>+'Data Overview'!D132</f>
        <v>0.214742772799493</v>
      </c>
      <c r="C150" s="35">
        <f>+'Data Overview'!E132</f>
        <v>0.17985874646230199</v>
      </c>
      <c r="D150" s="35">
        <f>+'Data Overview'!F132</f>
        <v>0.14125150486503399</v>
      </c>
    </row>
    <row r="151" spans="1:4" x14ac:dyDescent="0.2">
      <c r="A151" s="34" t="s">
        <v>53</v>
      </c>
      <c r="B151" s="35">
        <f>+'Data Overview'!D137</f>
        <v>0.229220623179861</v>
      </c>
      <c r="C151" s="35">
        <f>+'Data Overview'!E137</f>
        <v>0.22451857592869701</v>
      </c>
      <c r="D151" s="35">
        <f>+'Data Overview'!F137</f>
        <v>0.236673566054281</v>
      </c>
    </row>
    <row r="152" spans="1:4" x14ac:dyDescent="0.2">
      <c r="A152" s="34" t="s">
        <v>54</v>
      </c>
      <c r="B152" s="35">
        <f>+'Data Overview'!D153</f>
        <v>4.22588036661843E-2</v>
      </c>
      <c r="C152" s="35">
        <f>+'Data Overview'!E153</f>
        <v>3.36988204163731E-2</v>
      </c>
      <c r="D152" s="35">
        <f>+'Data Overview'!F153</f>
        <v>4.4294561244450699E-2</v>
      </c>
    </row>
    <row r="153" spans="1:4" x14ac:dyDescent="0.2">
      <c r="A153" s="34" t="s">
        <v>55</v>
      </c>
      <c r="B153" s="35">
        <f>+'Data Overview'!D138</f>
        <v>0.229220623179861</v>
      </c>
      <c r="C153" s="35">
        <f>+'Data Overview'!E138</f>
        <v>0.22451857592869701</v>
      </c>
      <c r="D153" s="35">
        <f>+'Data Overview'!F138</f>
        <v>0.236673566054281</v>
      </c>
    </row>
    <row r="154" spans="1:4" x14ac:dyDescent="0.2">
      <c r="A154" s="34" t="s">
        <v>56</v>
      </c>
      <c r="B154" s="35">
        <f>+'Data Overview'!D124</f>
        <v>0.43123242393382299</v>
      </c>
      <c r="C154" s="35">
        <f>+'Data Overview'!E124</f>
        <v>0.405337517464741</v>
      </c>
      <c r="D154" s="35">
        <f>+'Data Overview'!F124</f>
        <v>0.42070680841966102</v>
      </c>
    </row>
    <row r="155" spans="1:4" x14ac:dyDescent="0.2">
      <c r="A155" s="34" t="s">
        <v>57</v>
      </c>
      <c r="B155" s="35">
        <f>+'Data Overview'!D125</f>
        <v>0.43123242393382299</v>
      </c>
      <c r="C155" s="35">
        <f>+'Data Overview'!E125</f>
        <v>0.405337517464741</v>
      </c>
      <c r="D155" s="35">
        <f>+'Data Overview'!F125</f>
        <v>0.42070680841966102</v>
      </c>
    </row>
    <row r="156" spans="1:4" x14ac:dyDescent="0.2">
      <c r="A156" s="34" t="s">
        <v>58</v>
      </c>
      <c r="B156" s="35">
        <f>+'Data Overview'!D158</f>
        <v>5.5480963356023703E-3</v>
      </c>
      <c r="C156" s="35">
        <f>+'Data Overview'!E158</f>
        <v>9.1154365761781705E-3</v>
      </c>
      <c r="D156" s="35">
        <f>+'Data Overview'!F158</f>
        <v>1.03561835532837E-2</v>
      </c>
    </row>
    <row r="157" spans="1:4" x14ac:dyDescent="0.2">
      <c r="A157" s="34" t="s">
        <v>59</v>
      </c>
      <c r="B157" s="35">
        <f>+'Data Overview'!D126</f>
        <v>0.43123242393382299</v>
      </c>
      <c r="C157" s="35">
        <f>+'Data Overview'!E126</f>
        <v>0.405337517464741</v>
      </c>
      <c r="D157" s="35">
        <f>+'Data Overview'!F126</f>
        <v>0.42070680841966102</v>
      </c>
    </row>
    <row r="158" spans="1:4" x14ac:dyDescent="0.2">
      <c r="A158" s="34" t="s">
        <v>66</v>
      </c>
      <c r="B158" s="35">
        <f>+'Data Overview'!D139</f>
        <v>0.229220623179861</v>
      </c>
      <c r="C158" s="35">
        <f>+'Data Overview'!E139</f>
        <v>0.22451857592869701</v>
      </c>
      <c r="D158" s="35">
        <f>+'Data Overview'!F139</f>
        <v>0.236673566054281</v>
      </c>
    </row>
    <row r="159" spans="1:4" x14ac:dyDescent="0.2">
      <c r="A159" s="38"/>
    </row>
    <row r="160" spans="1:4"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83" spans="1:1" x14ac:dyDescent="0.2">
      <c r="A183" s="38"/>
    </row>
    <row r="184" spans="1:1" x14ac:dyDescent="0.2">
      <c r="A184" s="38"/>
    </row>
    <row r="186" spans="1:1" x14ac:dyDescent="0.2">
      <c r="A186" s="38"/>
    </row>
    <row r="188" spans="1:1" x14ac:dyDescent="0.2">
      <c r="A188" s="38"/>
    </row>
    <row r="189" spans="1:1" x14ac:dyDescent="0.2">
      <c r="A189" s="38"/>
    </row>
    <row r="190" spans="1:1" x14ac:dyDescent="0.2">
      <c r="A190" s="38"/>
    </row>
    <row r="192" spans="1:1" x14ac:dyDescent="0.2">
      <c r="A192"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3" spans="1:1" x14ac:dyDescent="0.2">
      <c r="A203" s="38"/>
    </row>
    <row r="204" spans="1:1" x14ac:dyDescent="0.2">
      <c r="A204" s="38"/>
    </row>
    <row r="219" spans="1:1" x14ac:dyDescent="0.2">
      <c r="A219" s="38"/>
    </row>
    <row r="222" spans="1:1" x14ac:dyDescent="0.2">
      <c r="A222" s="38"/>
    </row>
    <row r="223" spans="1:1" x14ac:dyDescent="0.2">
      <c r="A223" s="38"/>
    </row>
    <row r="225" spans="1:1" x14ac:dyDescent="0.2">
      <c r="A225" s="38"/>
    </row>
    <row r="226" spans="1:1" x14ac:dyDescent="0.2">
      <c r="A226" s="38"/>
    </row>
    <row r="231" spans="1:1" x14ac:dyDescent="0.2">
      <c r="A231" s="38"/>
    </row>
    <row r="232" spans="1:1" x14ac:dyDescent="0.2">
      <c r="A232" s="38"/>
    </row>
    <row r="233" spans="1:1" x14ac:dyDescent="0.2">
      <c r="A233" s="38"/>
    </row>
    <row r="234" spans="1:1" x14ac:dyDescent="0.2">
      <c r="A234" s="38"/>
    </row>
    <row r="235" spans="1:1" x14ac:dyDescent="0.2">
      <c r="A235"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row r="279" spans="1:1" x14ac:dyDescent="0.2">
      <c r="A279" s="38"/>
    </row>
    <row r="280" spans="1:1" x14ac:dyDescent="0.2">
      <c r="A280" s="38"/>
    </row>
    <row r="281" spans="1:1" x14ac:dyDescent="0.2">
      <c r="A281" s="38"/>
    </row>
    <row r="282" spans="1:1" x14ac:dyDescent="0.2">
      <c r="A282" s="38"/>
    </row>
    <row r="283" spans="1:1" x14ac:dyDescent="0.2">
      <c r="A283" s="38"/>
    </row>
    <row r="289" spans="1:1" x14ac:dyDescent="0.2">
      <c r="A289" s="38"/>
    </row>
    <row r="290" spans="1:1" x14ac:dyDescent="0.2">
      <c r="A290" s="38"/>
    </row>
    <row r="291" spans="1:1" x14ac:dyDescent="0.2">
      <c r="A291" s="38"/>
    </row>
    <row r="292" spans="1:1" x14ac:dyDescent="0.2">
      <c r="A292" s="38"/>
    </row>
    <row r="293" spans="1:1" x14ac:dyDescent="0.2">
      <c r="A293" s="38"/>
    </row>
    <row r="294" spans="1:1" x14ac:dyDescent="0.2">
      <c r="A294" s="38"/>
    </row>
    <row r="295" spans="1:1" x14ac:dyDescent="0.2">
      <c r="A295" s="38"/>
    </row>
    <row r="296" spans="1:1" x14ac:dyDescent="0.2">
      <c r="A296" s="38"/>
    </row>
    <row r="297" spans="1:1" x14ac:dyDescent="0.2">
      <c r="A297" s="38"/>
    </row>
    <row r="298" spans="1:1" x14ac:dyDescent="0.2">
      <c r="A298" s="38"/>
    </row>
    <row r="299" spans="1:1" x14ac:dyDescent="0.2">
      <c r="A299" s="38"/>
    </row>
    <row r="305" spans="1:1" x14ac:dyDescent="0.2">
      <c r="A305" s="38"/>
    </row>
    <row r="306" spans="1:1" x14ac:dyDescent="0.2">
      <c r="A306" s="38"/>
    </row>
    <row r="307" spans="1:1" x14ac:dyDescent="0.2">
      <c r="A307" s="38"/>
    </row>
    <row r="308" spans="1:1" x14ac:dyDescent="0.2">
      <c r="A308" s="38"/>
    </row>
    <row r="309" spans="1:1" x14ac:dyDescent="0.2">
      <c r="A309" s="38"/>
    </row>
    <row r="310" spans="1:1" x14ac:dyDescent="0.2">
      <c r="A310" s="38"/>
    </row>
    <row r="311" spans="1:1" x14ac:dyDescent="0.2">
      <c r="A311" s="38"/>
    </row>
    <row r="312" spans="1:1" x14ac:dyDescent="0.2">
      <c r="A312" s="38"/>
    </row>
    <row r="313" spans="1:1" x14ac:dyDescent="0.2">
      <c r="A313" s="38"/>
    </row>
    <row r="315" spans="1:1" x14ac:dyDescent="0.2">
      <c r="A315" s="38"/>
    </row>
    <row r="316" spans="1:1" x14ac:dyDescent="0.2">
      <c r="A316" s="38"/>
    </row>
  </sheetData>
  <sortState ref="A3:A321">
    <sortCondition ref="A7"/>
  </sortState>
  <mergeCells count="1">
    <mergeCell ref="B1:I1"/>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
  <sheetViews>
    <sheetView workbookViewId="0">
      <selection activeCell="G4" sqref="G4"/>
    </sheetView>
  </sheetViews>
  <sheetFormatPr defaultRowHeight="15" x14ac:dyDescent="0.25"/>
  <cols>
    <col min="1" max="1" width="26.85546875" customWidth="1"/>
    <col min="2" max="2" width="29.7109375" customWidth="1"/>
    <col min="3" max="3" width="20.5703125" customWidth="1"/>
  </cols>
  <sheetData>
    <row r="1" spans="1:7" x14ac:dyDescent="0.25">
      <c r="A1" t="s">
        <v>373</v>
      </c>
      <c r="B1" t="s">
        <v>374</v>
      </c>
      <c r="C1" t="s">
        <v>375</v>
      </c>
      <c r="G1" s="64" t="s">
        <v>416</v>
      </c>
    </row>
    <row r="2" spans="1:7" x14ac:dyDescent="0.25">
      <c r="A2">
        <f>IF(ISNUMBER(SEARCH("-",B3)),IF(ISNUMBER(SEARCH("(",B3)),IF(ISNUMBER(SEARCH("/",B3)),CONCATENATE(MID(B3,1,IF(ISNUMBER(SEARCH(" ",B3)),FIND(" ",B3)-1,FIND("(",B3)-1))," ",MID(B3,IF(ISNUMBER(SEARCH("-",B3)),FIND("-",B3)-1),2),SUM(MID(B3,FIND("(",B3)+3,(FIND(":",B3)-(FIND("-",B3)+1))),MID(B3,FIND("/",B3)+1,(FIND(":",B3,FIND("/",B3))-FIND("/",B3)-1))),":",SUM(MID(B3,FIND(":",B3)+1,FIND("/",B3)-(FIND(":",B3)+1)),MID(B3,FIND(":",B3,FIND("/",B3))+1,FIND(")",B3)-FIND(":",B3,FIND("/",B3))-1))," ",MID(B3,(FIND(")",B3)+1),100)),CONCATENATE(MID(B3,1,IF(ISNUMBER(SEARCH(" ",B3)),FIND(" ",B3)-1,FIND("(",B3)-1))," ",MID(B3,IF(ISNUMBER(SEARCH("-",B3)),FIND("-",B3)-1),2),SUM(MID(B3,FIND("(",B3)+3,(FIND(":",B3)-(FIND("-",B3)+1))),MID(B3,FIND("_",B3)+1,(FIND(":",B3,FIND("_",B3))-FIND("_",B3)-1))),":",SUM(MID(B3,FIND(":",B3)+1,FIND("_",B3)-(FIND(":",B3)+1)),MID(B3,FIND(":",B3,FIND("_",B3))+1,FIND(")",B3)-FIND(":",B3,FIND("_",B3))-1))," ",MID(B3,(FIND(")",B3)+1),100))),B3),IF(ISNUMBER(SEARCH("(",B3)),IF(ISNUMBER(SEARCH("/",B3)),CONCATENATE(MID(B3,1,IF(ISNUMBER(SEARCH(" ",B3)),FIND(" ",B3)-1,FIND("(",B3)-1))," ",(SUM(MID(B3,FIND("(",B3)+1,FIND(":",B3)-FIND("(",B3)-1),MID(B3,FIND("/",B3)+1,FIND(":",B3,FIND("/",B3))-FIND("/",B3)-1))),":",SUM(MID(B3,FIND(":",B3)+1,FIND("/",B3)-FIND(":",B3)-1),MID(B3,FIND(":",B3,FIND("/",B3))+1,FIND(")",B3)-FIND(":",B3,FIND("/",B3))-1)),MID(B3,(FIND(")",B3)+1),100)),CONCATENATE(MID(B3,1,IF(ISNUMBER(SEARCH(" ",B3)),FIND(" ",B3)-1,FIND("(",B3)-1))," ",(SUM(MID(B3,FIND("(",B3)+1,FIND(":",B3)-FIND("(",B3)-1),MID(B3,FIND("_",B3)+1,FIND(":",B3,FIND("_",B3))-FIND("_",B3)-1))),":",SUM(MID(B3,FIND(":",B3)+1,FIND("_",B3)-FIND(":",B3)-1),MID(B3,FIND(":",B3,FIND("_",B3))+1,FIND(")",B3)-FIND(":",B3,FIND("_",B3))-1)),MID(B3,(FIND(")",B3)+1),100))),B3))</f>
        <v>0</v>
      </c>
      <c r="B2">
        <f>IF(ISNUMBER(SEARCH("-",B3)),IF(ISNUMBER(SEARCH("(",B3)),IF(ISNUMBER(SEARCH("/",B3)),CONCATENATE(MID(B3,1,IF(ISNUMBER(SEARCH(" ",B3)),FIND(" ",B3)-1,FIND("(",B3)-1))," ",MID(B3,4,2),(SUM(MID(B3,FIND("(",B3)+3,FIND(":",B3)-FIND("-",B3)-1),MID(B3,FIND("/",B3)+1,FIND(":",B3,FIND("/",B3))-FIND("/",B3)-1),MID(B3,FIND("/",B3,FIND("/",B3)+1)+1,FIND(":",B3,FIND("/",B3,FIND("/",B3)+1))-FIND("/",B3,FIND("/",B3)+1)-1))),":",SUM(MID(B3,FIND(":",B3)+1,FIND("/",B3)-FIND(":",B3)-1),MID(B3,FIND(":",B3,FIND("/",B3))+1,(FIND("/",B3,FIND("/",B3)+1)-FIND(":",B3,FIND("/",B3))-1)),VALUE(MID(B3,FIND(":",B3,FIND("/",B3,FIND("/",B3)+1))+1,FIND(")",B3)-FIND(":",B3,FIND("/",B3,FIND("/",B3)+1))-1))),MID(B3,(FIND(")",B3)+1),100)),CONCATENATE(MID(B3,1,IF(ISNUMBER(SEARCH(" ",B3)),FIND(" ",B3)-1,FIND("(",B3)-1))," ",MID(B3,4,2),(SUM(MID(B3,FIND("(",B3)+3,FIND(":",B3)-FIND("-",B3)-1),MID(B3,FIND("_",B3)+1,FIND(":",B3,FIND("_",B3))-FIND("_",B3)-1),MID(B3,FIND("_",B3,FIND("_",B3)+1)+1,FIND(":",B3,FIND("_",B3,FIND("_",B3)+1))-FIND("_",B3,FIND("_",B3)+1)-1))),":",SUM(MID(B3,FIND(":",B3)+1,FIND("_",B3)-FIND(":",B3)-1),MID(B3,FIND(":",B3,FIND("_",B3))+1,(FIND("_",B3,FIND("_",B3)+1)-FIND(":",B3,FIND("_",B3))-1)),VALUE(MID(B3,FIND(":",B3,FIND("_",B3,FIND("_",B3)+1))+1,FIND(")",B3)-FIND(":",B3,FIND("_",B3,FIND("_",B3)+1))-1)))," ",MID(B3,(FIND(")",B3)+1),100))),B3),IF(ISNUMBER(SEARCH("(",B3)),IF(ISNUMBER(SEARCH("/",B3)),CONCATENATE(MID(B3,1,IF(ISNUMBER(SEARCH(" ",B3)),FIND(" ",B3)-1,FIND("(",B3)-1))," ",(SUM(MID(B3,FIND("(",B3)+1,FIND(":",B3)-FIND("(",B3)-1),MID(B3,FIND("/",B3)+1,FIND(":",B3,FIND("/",B3))-FIND("/",B3)-1),MID(B3,FIND("/",B3,FIND("/",B3)+1)+1,FIND(":",B3,FIND("/",B3,FIND("/",B3)+1))-FIND("/",B3,FIND("/",B3)+1)-1))),":",SUM(MID(B3,FIND(":",B3)+1,FIND("/",B3)-FIND(":",B3)-1),MID(B3,FIND(":",B3,FIND("/",B3))+1,(FIND("/",B3,FIND("/",B3)+1)-FIND(":",B3,FIND("/",B3))-1)),VALUE(MID(B3,FIND(":",B3,FIND("/",B3,FIND("/",B3)+1))+1,FIND(")",B3)-FIND(":",B3,FIND("/",B3,FIND("/",B3)+1))-1))),MID(B3,(FIND(")",B3)+1),100)),CONCATENATE(MID(B3,1,IF(ISNUMBER(SEARCH(" ",B3)),FIND(" ",B3)-1,FIND("(",B3)-1))," ",(SUM(MID(B3,FIND("(",B3)+1,FIND(":",B3)-FIND("(",B3)-1),MID(B3,FIND("_",B3)+1,FIND(":",B3,FIND("_",B3))-FIND("_",B3)-1),MID(B3,FIND("_",B3,FIND("_",B3)+1)+1,FIND(":",B3,FIND("_",B3,FIND("_",B3)+1))-FIND("_",B3,FIND("_",B3)+1)-1))),":",SUM(MID(B3,FIND(":",B3)+1,FIND("_",B3)-FIND(":",B3)-1),MID(B3,FIND(":",B3,FIND("_",B3))+1,(FIND("_",B3,FIND("_",B3)+1)-FIND(":",B3,FIND("_",B3))-1)),VALUE(MID(B3,FIND(":",B3,FIND("_",B3,FIND("_",B3)+1))+1,FIND(")",B3)-FIND(":",B3,FIND("_",B3,FIND("_",B3)+1))-1))),MID(B3,(FIND(")",B3)+1),100))),B3))</f>
        <v>0</v>
      </c>
      <c r="C2" t="e">
        <f>IF(ISNUMBER(SEARCH("(",B3)),IF(ISNUMBER(SEARCH("/",B3)),CONCATENATE(MID(B3,1,IF(ISNUMBER(SEARCH(" ",B3)),FIND(" ",B3)-1,FIND("(",B3)-1))," ","d",(SUM(MID(B3,FIND("(",B3)+2,FIND(":",B3)-FIND("(",B3)-2),MID(B3,FIND("/",B3)+1,FIND(":",B3,FIND("/",B3))-FIND("/",B3)-1))),":",SUM(MID(B3,FIND(":",B3)+1,FIND("/",B3)-FIND(":",B3)-1),MID(B3,FIND(":",B3,FIND("/",B3))+1,FIND(")",B3)-FIND(":",B3,FIND("/",B3))-1)),MID(B3,(FIND(")",B3)+1),100)),CONCATENATE(MID(B3,1,IF(ISNUMBER(SEARCH(" ",B3)),FIND(" ",B3)-1,FIND("(",B3)-1))," ","d",(SUM(MID(B3,FIND("(",B3)+2,FIND(":",B3)-FIND("(",B3)-2),MID(B3,FIND("_",B3)+1,FIND(":",B3,FIND("_",B3))-FIND("_",B3)-1))),":",SUM(MID(B3,FIND(":",B3)+1,FIND("_",B3)-FIND(":",B3)-1),MID(B3,FIND(":",B3,FIND("_",B3))+1,FIND(")",B3)-FIND(":",B3,FIND("_",B3))-1)),MID(B3,(FIND(")",B3)+1),100))),CONCATENATE(MID(B3,1,FIND(" ",B3)-1)," ","d",MID(B3,FIND("d",B3)+1,100)))</f>
        <v>#VALUE!</v>
      </c>
      <c r="D2">
        <f>B3</f>
        <v>0</v>
      </c>
      <c r="G2" s="63" t="s">
        <v>417</v>
      </c>
    </row>
    <row r="3" spans="1:7" x14ac:dyDescent="0.25">
      <c r="G3" s="65"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Instructions</vt:lpstr>
      <vt:lpstr>Enter Values</vt:lpstr>
      <vt:lpstr>Results</vt:lpstr>
      <vt:lpstr>certlist</vt:lpstr>
      <vt:lpstr>consensus values</vt:lpstr>
      <vt:lpstr>Data Overview</vt:lpstr>
      <vt:lpstr>Summed Data</vt:lpstr>
      <vt:lpstr>Formulas</vt:lpstr>
      <vt:lpstr>plusminus</vt:lpstr>
      <vt:lpstr>table1footnote1</vt:lpstr>
      <vt:lpstr>table1footnote2</vt:lpstr>
    </vt:vector>
  </TitlesOfParts>
  <Company>NOS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Jared Ragland;Candice Z. Ulmer</dc:creator>
  <cp:lastModifiedBy>msb</cp:lastModifiedBy>
  <dcterms:created xsi:type="dcterms:W3CDTF">2015-04-22T13:29:45Z</dcterms:created>
  <dcterms:modified xsi:type="dcterms:W3CDTF">2024-03-28T13:17:44Z</dcterms:modified>
</cp:coreProperties>
</file>